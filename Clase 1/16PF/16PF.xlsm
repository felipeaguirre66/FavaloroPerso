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showHorizontalScroll="0" showVerticalScroll="0" xWindow="0" yWindow="0" windowWidth="20490" windowHeight="7755"/>
  </bookViews>
  <sheets>
    <sheet name="PRINCIPAL" sheetId="3" r:id="rId1"/>
    <sheet name="INSTRUCCIONES" sheetId="5" r:id="rId2"/>
    <sheet name="CUESTIONARIO" sheetId="1" r:id="rId3"/>
    <sheet name="HOMBRES" sheetId="2" r:id="rId4"/>
    <sheet name="MUJERES" sheetId="6" r:id="rId5"/>
  </sheets>
  <definedNames>
    <definedName name="_xlnm._FilterDatabase" localSheetId="2" hidden="1">CUESTIONARIO!$A$9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" i="6" l="1"/>
  <c r="I16" i="6"/>
  <c r="I15" i="6"/>
  <c r="I14" i="6"/>
  <c r="I13" i="6"/>
  <c r="I10" i="6"/>
  <c r="I9" i="6"/>
  <c r="I8" i="6"/>
  <c r="S18" i="6" s="1"/>
  <c r="I7" i="6"/>
  <c r="Q15" i="6" s="1"/>
  <c r="I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5" i="6"/>
  <c r="E214" i="6"/>
  <c r="E213" i="6"/>
  <c r="E212" i="6"/>
  <c r="E211" i="6"/>
  <c r="E210" i="6"/>
  <c r="E209" i="6"/>
  <c r="E208" i="6"/>
  <c r="E207" i="6"/>
  <c r="E206" i="6"/>
  <c r="E205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4" i="6"/>
  <c r="E183" i="6"/>
  <c r="E182" i="6"/>
  <c r="E181" i="6"/>
  <c r="E180" i="6"/>
  <c r="E179" i="6"/>
  <c r="E178" i="6"/>
  <c r="E177" i="6"/>
  <c r="E176" i="6"/>
  <c r="E175" i="6"/>
  <c r="E174" i="6"/>
  <c r="E170" i="6"/>
  <c r="E169" i="6"/>
  <c r="E168" i="6"/>
  <c r="E167" i="6"/>
  <c r="E166" i="6"/>
  <c r="E165" i="6"/>
  <c r="E164" i="6"/>
  <c r="E163" i="6"/>
  <c r="E162" i="6"/>
  <c r="E161" i="6"/>
  <c r="E157" i="6"/>
  <c r="E156" i="6"/>
  <c r="E155" i="6"/>
  <c r="E154" i="6"/>
  <c r="E153" i="6"/>
  <c r="E152" i="6"/>
  <c r="E151" i="6"/>
  <c r="E150" i="6"/>
  <c r="E149" i="6"/>
  <c r="E148" i="6"/>
  <c r="H8" i="6" s="1"/>
  <c r="E144" i="6"/>
  <c r="E143" i="6"/>
  <c r="E141" i="6"/>
  <c r="E140" i="6"/>
  <c r="E139" i="6"/>
  <c r="E138" i="6"/>
  <c r="E137" i="6"/>
  <c r="E136" i="6"/>
  <c r="E135" i="6"/>
  <c r="E134" i="6"/>
  <c r="E132" i="6"/>
  <c r="E128" i="6"/>
  <c r="E127" i="6"/>
  <c r="E125" i="6"/>
  <c r="E124" i="6"/>
  <c r="E123" i="6"/>
  <c r="E121" i="6"/>
  <c r="E120" i="6"/>
  <c r="E119" i="6"/>
  <c r="E118" i="6"/>
  <c r="E117" i="6"/>
  <c r="E116" i="6"/>
  <c r="E112" i="6"/>
  <c r="E111" i="6"/>
  <c r="E110" i="6"/>
  <c r="E109" i="6"/>
  <c r="E108" i="6"/>
  <c r="E107" i="6"/>
  <c r="E106" i="6"/>
  <c r="E105" i="6"/>
  <c r="E104" i="6"/>
  <c r="E103" i="6"/>
  <c r="H17" i="6" s="1"/>
  <c r="E99" i="6"/>
  <c r="E98" i="6"/>
  <c r="E97" i="6"/>
  <c r="E96" i="6"/>
  <c r="E95" i="6"/>
  <c r="E94" i="6"/>
  <c r="E93" i="6"/>
  <c r="E92" i="6"/>
  <c r="E91" i="6"/>
  <c r="E90" i="6"/>
  <c r="H15" i="6" s="1"/>
  <c r="E86" i="6"/>
  <c r="E85" i="6"/>
  <c r="E84" i="6"/>
  <c r="E83" i="6"/>
  <c r="E82" i="6"/>
  <c r="E81" i="6"/>
  <c r="E80" i="6"/>
  <c r="E79" i="6"/>
  <c r="E78" i="6"/>
  <c r="E77" i="6"/>
  <c r="H13" i="6" s="1"/>
  <c r="E72" i="6"/>
  <c r="E71" i="6"/>
  <c r="E70" i="6"/>
  <c r="E69" i="6"/>
  <c r="E68" i="6"/>
  <c r="E67" i="6"/>
  <c r="E66" i="6"/>
  <c r="E65" i="6"/>
  <c r="E64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4" i="6"/>
  <c r="E43" i="6"/>
  <c r="E42" i="6"/>
  <c r="E41" i="6"/>
  <c r="E40" i="6"/>
  <c r="E39" i="6"/>
  <c r="E38" i="6"/>
  <c r="E37" i="6"/>
  <c r="E36" i="6"/>
  <c r="E35" i="6"/>
  <c r="E34" i="6"/>
  <c r="E33" i="6"/>
  <c r="H7" i="6" s="1"/>
  <c r="E32" i="6"/>
  <c r="E27" i="6"/>
  <c r="E26" i="6"/>
  <c r="E25" i="6"/>
  <c r="E24" i="6"/>
  <c r="E23" i="6"/>
  <c r="E22" i="6"/>
  <c r="E21" i="6"/>
  <c r="E20" i="6"/>
  <c r="E19" i="6"/>
  <c r="E18" i="6"/>
  <c r="H16" i="6"/>
  <c r="H14" i="6"/>
  <c r="E12" i="6"/>
  <c r="E11" i="6"/>
  <c r="H10" i="6"/>
  <c r="E10" i="6"/>
  <c r="H9" i="6"/>
  <c r="E9" i="6"/>
  <c r="E8" i="6"/>
  <c r="E7" i="6"/>
  <c r="E6" i="6"/>
  <c r="E5" i="6"/>
  <c r="E4" i="6"/>
  <c r="E3" i="6"/>
  <c r="H3" i="6" s="1"/>
  <c r="U3" i="6" l="1"/>
  <c r="P3" i="6"/>
  <c r="T3" i="6"/>
  <c r="N3" i="6"/>
  <c r="S3" i="6"/>
  <c r="M3" i="6"/>
  <c r="W3" i="6"/>
  <c r="Q3" i="6"/>
  <c r="T21" i="6"/>
  <c r="O21" i="6"/>
  <c r="W21" i="6"/>
  <c r="S21" i="6"/>
  <c r="N21" i="6"/>
  <c r="P21" i="6"/>
  <c r="V21" i="6"/>
  <c r="M21" i="6"/>
  <c r="U21" i="6"/>
  <c r="W24" i="6"/>
  <c r="S24" i="6"/>
  <c r="N24" i="6"/>
  <c r="V24" i="6"/>
  <c r="Q24" i="6"/>
  <c r="M24" i="6"/>
  <c r="P24" i="6"/>
  <c r="O24" i="6"/>
  <c r="U24" i="6"/>
  <c r="Q21" i="6"/>
  <c r="T24" i="6"/>
  <c r="U39" i="6"/>
  <c r="P39" i="6"/>
  <c r="T39" i="6"/>
  <c r="O39" i="6"/>
  <c r="S39" i="6"/>
  <c r="Q39" i="6"/>
  <c r="W39" i="6"/>
  <c r="N39" i="6"/>
  <c r="V39" i="6"/>
  <c r="M39" i="6"/>
  <c r="O3" i="6"/>
  <c r="T42" i="6"/>
  <c r="O42" i="6"/>
  <c r="W42" i="6"/>
  <c r="S42" i="6"/>
  <c r="N42" i="6"/>
  <c r="Q42" i="6"/>
  <c r="P42" i="6"/>
  <c r="V42" i="6"/>
  <c r="M42" i="6"/>
  <c r="U42" i="6"/>
  <c r="V3" i="6"/>
  <c r="U18" i="6"/>
  <c r="P18" i="6"/>
  <c r="T18" i="6"/>
  <c r="O18" i="6"/>
  <c r="Q18" i="6"/>
  <c r="W18" i="6"/>
  <c r="N18" i="6"/>
  <c r="V18" i="6"/>
  <c r="M18" i="6"/>
  <c r="V36" i="6"/>
  <c r="Q36" i="6"/>
  <c r="M36" i="6"/>
  <c r="U36" i="6"/>
  <c r="P36" i="6"/>
  <c r="T36" i="6"/>
  <c r="S36" i="6"/>
  <c r="O36" i="6"/>
  <c r="W36" i="6"/>
  <c r="N36" i="6"/>
  <c r="W33" i="6"/>
  <c r="S33" i="6"/>
  <c r="N33" i="6"/>
  <c r="V33" i="6"/>
  <c r="Q33" i="6"/>
  <c r="M33" i="6"/>
  <c r="T33" i="6"/>
  <c r="P33" i="6"/>
  <c r="O33" i="6"/>
  <c r="U33" i="6"/>
  <c r="T45" i="6"/>
  <c r="O45" i="6"/>
  <c r="W45" i="6"/>
  <c r="S45" i="6"/>
  <c r="N45" i="6"/>
  <c r="U45" i="6"/>
  <c r="Q45" i="6"/>
  <c r="P45" i="6"/>
  <c r="V45" i="6"/>
  <c r="M45" i="6"/>
  <c r="T15" i="6"/>
  <c r="O15" i="6"/>
  <c r="W15" i="6"/>
  <c r="S15" i="6"/>
  <c r="N15" i="6"/>
  <c r="P15" i="6"/>
  <c r="V15" i="6"/>
  <c r="M15" i="6"/>
  <c r="U15" i="6"/>
  <c r="I15" i="1"/>
  <c r="E137" i="2" l="1"/>
  <c r="E135" i="2"/>
  <c r="E124" i="2"/>
  <c r="E112" i="2"/>
  <c r="E109" i="2"/>
  <c r="E103" i="2"/>
  <c r="E98" i="2"/>
  <c r="E83" i="2"/>
  <c r="E82" i="2"/>
  <c r="E81" i="2"/>
  <c r="E79" i="2"/>
  <c r="E78" i="2"/>
  <c r="E67" i="2"/>
  <c r="E66" i="2"/>
  <c r="E64" i="2"/>
  <c r="E52" i="2"/>
  <c r="E36" i="2"/>
  <c r="E32" i="2"/>
  <c r="E21" i="2"/>
  <c r="E10" i="2"/>
  <c r="E6" i="2"/>
  <c r="I739" i="1"/>
  <c r="I735" i="1"/>
  <c r="I727" i="1"/>
  <c r="E142" i="6" s="1"/>
  <c r="I719" i="1"/>
  <c r="E126" i="6" s="1"/>
  <c r="I715" i="1"/>
  <c r="I671" i="1"/>
  <c r="I619" i="1"/>
  <c r="I615" i="1"/>
  <c r="I471" i="1"/>
  <c r="I415" i="1"/>
  <c r="I371" i="1"/>
  <c r="I319" i="1"/>
  <c r="E122" i="6" s="1"/>
  <c r="I315" i="1"/>
  <c r="I311" i="1"/>
  <c r="I107" i="1"/>
  <c r="I95" i="1"/>
  <c r="I55" i="1"/>
  <c r="E205" i="2"/>
  <c r="I751" i="1"/>
  <c r="I747" i="1"/>
  <c r="I743" i="1"/>
  <c r="I731" i="1"/>
  <c r="I711" i="1"/>
  <c r="I723" i="1"/>
  <c r="E28" i="6" s="1"/>
  <c r="I707" i="1"/>
  <c r="I703" i="1"/>
  <c r="I699" i="1"/>
  <c r="I695" i="1"/>
  <c r="I691" i="1"/>
  <c r="I687" i="1"/>
  <c r="I683" i="1"/>
  <c r="I679" i="1"/>
  <c r="I575" i="1"/>
  <c r="I675" i="1"/>
  <c r="I667" i="1"/>
  <c r="E185" i="6" s="1"/>
  <c r="H12" i="6" s="1"/>
  <c r="I12" i="6" s="1"/>
  <c r="I663" i="1"/>
  <c r="E73" i="6" s="1"/>
  <c r="H11" i="6" s="1"/>
  <c r="I11" i="6" s="1"/>
  <c r="I659" i="1"/>
  <c r="I655" i="1"/>
  <c r="I651" i="1"/>
  <c r="I647" i="1"/>
  <c r="I643" i="1"/>
  <c r="I639" i="1"/>
  <c r="I635" i="1"/>
  <c r="I631" i="1"/>
  <c r="I627" i="1"/>
  <c r="I623" i="1"/>
  <c r="I611" i="1"/>
  <c r="I607" i="1"/>
  <c r="I603" i="1"/>
  <c r="I599" i="1"/>
  <c r="I595" i="1"/>
  <c r="I591" i="1"/>
  <c r="I587" i="1"/>
  <c r="I583" i="1"/>
  <c r="I579" i="1"/>
  <c r="I571" i="1"/>
  <c r="I567" i="1"/>
  <c r="I563" i="1"/>
  <c r="I559" i="1"/>
  <c r="I555" i="1"/>
  <c r="I551" i="1"/>
  <c r="I547" i="1"/>
  <c r="I543" i="1"/>
  <c r="I539" i="1"/>
  <c r="I535" i="1"/>
  <c r="I531" i="1"/>
  <c r="I527" i="1"/>
  <c r="I523" i="1"/>
  <c r="I519" i="1"/>
  <c r="I515" i="1"/>
  <c r="I511" i="1"/>
  <c r="I507" i="1"/>
  <c r="I503" i="1"/>
  <c r="I499" i="1"/>
  <c r="I495" i="1"/>
  <c r="I491" i="1"/>
  <c r="I487" i="1"/>
  <c r="I483" i="1"/>
  <c r="I479" i="1"/>
  <c r="I475" i="1"/>
  <c r="I467" i="1"/>
  <c r="I463" i="1"/>
  <c r="I459" i="1"/>
  <c r="I455" i="1"/>
  <c r="I451" i="1"/>
  <c r="I447" i="1"/>
  <c r="I443" i="1"/>
  <c r="I439" i="1"/>
  <c r="I435" i="1"/>
  <c r="I431" i="1"/>
  <c r="I427" i="1"/>
  <c r="I423" i="1"/>
  <c r="I419" i="1"/>
  <c r="I411" i="1"/>
  <c r="I407" i="1"/>
  <c r="I403" i="1"/>
  <c r="I399" i="1"/>
  <c r="I395" i="1"/>
  <c r="I391" i="1"/>
  <c r="I387" i="1"/>
  <c r="I383" i="1"/>
  <c r="I379" i="1"/>
  <c r="I375" i="1"/>
  <c r="I367" i="1"/>
  <c r="I363" i="1"/>
  <c r="I359" i="1"/>
  <c r="I355" i="1"/>
  <c r="I351" i="1"/>
  <c r="I347" i="1"/>
  <c r="I343" i="1"/>
  <c r="I339" i="1"/>
  <c r="I335" i="1"/>
  <c r="I331" i="1"/>
  <c r="I327" i="1"/>
  <c r="I323" i="1"/>
  <c r="I307" i="1"/>
  <c r="I303" i="1"/>
  <c r="I299" i="1"/>
  <c r="I295" i="1"/>
  <c r="I291" i="1"/>
  <c r="I287" i="1"/>
  <c r="I283" i="1"/>
  <c r="I279" i="1"/>
  <c r="I275" i="1"/>
  <c r="I271" i="1"/>
  <c r="I267" i="1"/>
  <c r="I263" i="1"/>
  <c r="I159" i="1"/>
  <c r="I259" i="1"/>
  <c r="I255" i="1"/>
  <c r="I251" i="1"/>
  <c r="I247" i="1"/>
  <c r="I243" i="1"/>
  <c r="I239" i="1"/>
  <c r="I235" i="1"/>
  <c r="I231" i="1"/>
  <c r="I227" i="1"/>
  <c r="I223" i="1"/>
  <c r="I219" i="1"/>
  <c r="I215" i="1"/>
  <c r="I211" i="1"/>
  <c r="I207" i="1"/>
  <c r="I203" i="1"/>
  <c r="I199" i="1"/>
  <c r="I195" i="1"/>
  <c r="I191" i="1"/>
  <c r="I187" i="1"/>
  <c r="I183" i="1"/>
  <c r="I179" i="1"/>
  <c r="I175" i="1"/>
  <c r="I171" i="1"/>
  <c r="I167" i="1"/>
  <c r="I163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3" i="1"/>
  <c r="I99" i="1"/>
  <c r="I91" i="1"/>
  <c r="I87" i="1"/>
  <c r="I83" i="1"/>
  <c r="I79" i="1"/>
  <c r="I75" i="1"/>
  <c r="I71" i="1"/>
  <c r="I67" i="1"/>
  <c r="I59" i="1"/>
  <c r="I63" i="1"/>
  <c r="I51" i="1"/>
  <c r="I47" i="1"/>
  <c r="I43" i="1"/>
  <c r="I39" i="1"/>
  <c r="I31" i="1"/>
  <c r="I35" i="1"/>
  <c r="E133" i="6" s="1"/>
  <c r="H6" i="6" s="1"/>
  <c r="I6" i="6" s="1"/>
  <c r="I27" i="1"/>
  <c r="I23" i="1"/>
  <c r="E16" i="6" s="1"/>
  <c r="I19" i="1"/>
  <c r="H4" i="6" l="1"/>
  <c r="I4" i="6" s="1"/>
  <c r="W6" i="6" s="1"/>
  <c r="E122" i="2"/>
  <c r="Q6" i="6"/>
  <c r="Q12" i="6"/>
  <c r="O12" i="6"/>
  <c r="S12" i="6"/>
  <c r="P12" i="6"/>
  <c r="M12" i="6"/>
  <c r="T12" i="6"/>
  <c r="W12" i="6"/>
  <c r="N12" i="6"/>
  <c r="V12" i="6"/>
  <c r="U12" i="6"/>
  <c r="E17" i="2"/>
  <c r="E219" i="6"/>
  <c r="H18" i="6" s="1"/>
  <c r="I18" i="6" s="1"/>
  <c r="E17" i="6"/>
  <c r="H5" i="6" s="1"/>
  <c r="I5" i="6" s="1"/>
  <c r="Q27" i="6"/>
  <c r="U27" i="6"/>
  <c r="S27" i="6"/>
  <c r="W27" i="6"/>
  <c r="T27" i="6"/>
  <c r="V27" i="6"/>
  <c r="M27" i="6"/>
  <c r="P27" i="6"/>
  <c r="O27" i="6"/>
  <c r="N27" i="6"/>
  <c r="P30" i="6"/>
  <c r="W30" i="6"/>
  <c r="N30" i="6"/>
  <c r="Q30" i="6"/>
  <c r="T30" i="6"/>
  <c r="O30" i="6"/>
  <c r="S30" i="6"/>
  <c r="V30" i="6"/>
  <c r="M30" i="6"/>
  <c r="U30" i="6"/>
  <c r="E11" i="2"/>
  <c r="E111" i="2"/>
  <c r="E59" i="2"/>
  <c r="E41" i="2"/>
  <c r="E141" i="2"/>
  <c r="E60" i="2"/>
  <c r="E142" i="2"/>
  <c r="E126" i="2"/>
  <c r="E85" i="2"/>
  <c r="E40" i="2"/>
  <c r="E26" i="2"/>
  <c r="E25" i="2"/>
  <c r="E96" i="2"/>
  <c r="E70" i="2"/>
  <c r="E107" i="2"/>
  <c r="E51" i="2"/>
  <c r="E7" i="2"/>
  <c r="E92" i="2"/>
  <c r="E134" i="2"/>
  <c r="E77" i="2"/>
  <c r="E116" i="2"/>
  <c r="E175" i="2"/>
  <c r="E190" i="2"/>
  <c r="E162" i="2"/>
  <c r="E221" i="2"/>
  <c r="E163" i="2"/>
  <c r="E178" i="2"/>
  <c r="E194" i="2"/>
  <c r="E151" i="2"/>
  <c r="E195" i="2"/>
  <c r="E210" i="2"/>
  <c r="E198" i="2"/>
  <c r="E200" i="2"/>
  <c r="E168" i="2"/>
  <c r="E230" i="2"/>
  <c r="E184" i="2"/>
  <c r="E44" i="2"/>
  <c r="E55" i="2"/>
  <c r="E118" i="2"/>
  <c r="E133" i="2"/>
  <c r="E3" i="2"/>
  <c r="E161" i="2"/>
  <c r="E149" i="2"/>
  <c r="E176" i="2"/>
  <c r="E191" i="2"/>
  <c r="E206" i="2"/>
  <c r="E150" i="2"/>
  <c r="E222" i="2"/>
  <c r="E196" i="2"/>
  <c r="E180" i="2"/>
  <c r="E226" i="2"/>
  <c r="E181" i="2"/>
  <c r="E228" i="2"/>
  <c r="E154" i="2"/>
  <c r="E170" i="2"/>
  <c r="E215" i="2"/>
  <c r="E231" i="2"/>
  <c r="E156" i="2"/>
  <c r="E169" i="2"/>
  <c r="E183" i="2"/>
  <c r="E18" i="2"/>
  <c r="E22" i="2"/>
  <c r="E33" i="2"/>
  <c r="E37" i="2"/>
  <c r="E48" i="2"/>
  <c r="E56" i="2"/>
  <c r="E71" i="2"/>
  <c r="E86" i="2"/>
  <c r="E93" i="2"/>
  <c r="E97" i="2"/>
  <c r="E104" i="2"/>
  <c r="E108" i="2"/>
  <c r="E119" i="2"/>
  <c r="E123" i="2"/>
  <c r="E127" i="2"/>
  <c r="E138" i="2"/>
  <c r="E174" i="2"/>
  <c r="E177" i="2"/>
  <c r="E192" i="2"/>
  <c r="E207" i="2"/>
  <c r="E223" i="2"/>
  <c r="E179" i="2"/>
  <c r="E224" i="2"/>
  <c r="E165" i="2"/>
  <c r="E211" i="2"/>
  <c r="E227" i="2"/>
  <c r="E166" i="2"/>
  <c r="E213" i="2"/>
  <c r="E229" i="2"/>
  <c r="E155" i="2"/>
  <c r="E201" i="2"/>
  <c r="E157" i="2"/>
  <c r="E214" i="2"/>
  <c r="E4" i="2"/>
  <c r="E8" i="2"/>
  <c r="E12" i="2"/>
  <c r="E19" i="2"/>
  <c r="E23" i="2"/>
  <c r="E27" i="2"/>
  <c r="E34" i="2"/>
  <c r="E38" i="2"/>
  <c r="E42" i="2"/>
  <c r="E49" i="2"/>
  <c r="E53" i="2"/>
  <c r="E57" i="2"/>
  <c r="E68" i="2"/>
  <c r="E72" i="2"/>
  <c r="E90" i="2"/>
  <c r="E94" i="2"/>
  <c r="E105" i="2"/>
  <c r="E120" i="2"/>
  <c r="E128" i="2"/>
  <c r="E139" i="2"/>
  <c r="E143" i="2"/>
  <c r="E219" i="2"/>
  <c r="E148" i="2"/>
  <c r="E189" i="2"/>
  <c r="E220" i="2"/>
  <c r="E193" i="2"/>
  <c r="E208" i="2"/>
  <c r="E164" i="2"/>
  <c r="E209" i="2"/>
  <c r="E225" i="2"/>
  <c r="E152" i="2"/>
  <c r="E197" i="2"/>
  <c r="E212" i="2"/>
  <c r="E153" i="2"/>
  <c r="E167" i="2"/>
  <c r="E199" i="2"/>
  <c r="E185" i="2"/>
  <c r="E232" i="2"/>
  <c r="E182" i="2"/>
  <c r="E5" i="2"/>
  <c r="E9" i="2"/>
  <c r="E16" i="2"/>
  <c r="E20" i="2"/>
  <c r="E24" i="2"/>
  <c r="E28" i="2"/>
  <c r="E35" i="2"/>
  <c r="E39" i="2"/>
  <c r="E43" i="2"/>
  <c r="E50" i="2"/>
  <c r="E54" i="2"/>
  <c r="E58" i="2"/>
  <c r="E65" i="2"/>
  <c r="E69" i="2"/>
  <c r="E73" i="2"/>
  <c r="E80" i="2"/>
  <c r="E84" i="2"/>
  <c r="E91" i="2"/>
  <c r="E95" i="2"/>
  <c r="E99" i="2"/>
  <c r="E106" i="2"/>
  <c r="E110" i="2"/>
  <c r="E117" i="2"/>
  <c r="E121" i="2"/>
  <c r="E125" i="2"/>
  <c r="E132" i="2"/>
  <c r="E136" i="2"/>
  <c r="E140" i="2"/>
  <c r="E144" i="2"/>
  <c r="N6" i="6" l="1"/>
  <c r="V6" i="6"/>
  <c r="P6" i="6"/>
  <c r="U6" i="6"/>
  <c r="S6" i="6"/>
  <c r="O6" i="6"/>
  <c r="M6" i="6"/>
  <c r="T6" i="6"/>
  <c r="W9" i="6"/>
  <c r="M9" i="6"/>
  <c r="P9" i="6"/>
  <c r="S9" i="6"/>
  <c r="U9" i="6"/>
  <c r="N9" i="6"/>
  <c r="O9" i="6"/>
  <c r="Q9" i="6"/>
  <c r="T9" i="6"/>
  <c r="V9" i="6"/>
  <c r="M48" i="6"/>
  <c r="S48" i="6"/>
  <c r="V48" i="6"/>
  <c r="Q48" i="6"/>
  <c r="P48" i="6"/>
  <c r="O48" i="6"/>
  <c r="W48" i="6"/>
  <c r="U48" i="6"/>
  <c r="T48" i="6"/>
  <c r="N48" i="6"/>
  <c r="H15" i="2"/>
  <c r="I15" i="2" s="1"/>
  <c r="V39" i="2" s="1"/>
  <c r="H5" i="2"/>
  <c r="I5" i="2" s="1"/>
  <c r="U9" i="2" s="1"/>
  <c r="H13" i="2"/>
  <c r="I13" i="2" s="1"/>
  <c r="V33" i="2" s="1"/>
  <c r="H11" i="2"/>
  <c r="I11" i="2" s="1"/>
  <c r="V27" i="2" s="1"/>
  <c r="H17" i="2"/>
  <c r="I17" i="2" s="1"/>
  <c r="V45" i="2" s="1"/>
  <c r="H16" i="2"/>
  <c r="I16" i="2" s="1"/>
  <c r="V42" i="2" s="1"/>
  <c r="H9" i="2"/>
  <c r="I9" i="2" s="1"/>
  <c r="V21" i="2" s="1"/>
  <c r="H7" i="2"/>
  <c r="I7" i="2" s="1"/>
  <c r="V15" i="2" s="1"/>
  <c r="H3" i="2"/>
  <c r="I3" i="2" s="1"/>
  <c r="W3" i="2" s="1"/>
  <c r="H6" i="2"/>
  <c r="I6" i="2" s="1"/>
  <c r="V12" i="2" s="1"/>
  <c r="H4" i="2"/>
  <c r="I4" i="2" s="1"/>
  <c r="U6" i="2" s="1"/>
  <c r="H8" i="2"/>
  <c r="I8" i="2" s="1"/>
  <c r="H10" i="2"/>
  <c r="I10" i="2" s="1"/>
  <c r="H14" i="2"/>
  <c r="I14" i="2" s="1"/>
  <c r="H18" i="2"/>
  <c r="I18" i="2" s="1"/>
  <c r="H12" i="2"/>
  <c r="I12" i="2" s="1"/>
  <c r="N39" i="2" l="1"/>
  <c r="T39" i="2"/>
  <c r="O39" i="2"/>
  <c r="U39" i="2"/>
  <c r="P39" i="2"/>
  <c r="W39" i="2"/>
  <c r="S39" i="2"/>
  <c r="U33" i="2"/>
  <c r="M39" i="2"/>
  <c r="Q39" i="2"/>
  <c r="P33" i="2"/>
  <c r="W27" i="2"/>
  <c r="N27" i="2"/>
  <c r="S27" i="2"/>
  <c r="W15" i="2"/>
  <c r="M9" i="2"/>
  <c r="Q9" i="2"/>
  <c r="V9" i="2"/>
  <c r="N9" i="2"/>
  <c r="S9" i="2"/>
  <c r="O9" i="2"/>
  <c r="T9" i="2"/>
  <c r="W9" i="2"/>
  <c r="P9" i="2"/>
  <c r="W42" i="2"/>
  <c r="Q21" i="2"/>
  <c r="N33" i="2"/>
  <c r="S33" i="2"/>
  <c r="W33" i="2"/>
  <c r="W12" i="2"/>
  <c r="N45" i="2"/>
  <c r="W45" i="2"/>
  <c r="M33" i="2"/>
  <c r="O33" i="2"/>
  <c r="Q33" i="2"/>
  <c r="T33" i="2"/>
  <c r="M21" i="2"/>
  <c r="N15" i="2"/>
  <c r="S45" i="2"/>
  <c r="P45" i="2"/>
  <c r="U45" i="2"/>
  <c r="N42" i="2"/>
  <c r="S42" i="2"/>
  <c r="P42" i="2"/>
  <c r="U42" i="2"/>
  <c r="P27" i="2"/>
  <c r="U27" i="2"/>
  <c r="M27" i="2"/>
  <c r="O27" i="2"/>
  <c r="Q27" i="2"/>
  <c r="T27" i="2"/>
  <c r="O21" i="2"/>
  <c r="U21" i="2"/>
  <c r="N21" i="2"/>
  <c r="P21" i="2"/>
  <c r="S21" i="2"/>
  <c r="W21" i="2"/>
  <c r="S15" i="2"/>
  <c r="N12" i="2"/>
  <c r="Q6" i="2"/>
  <c r="N6" i="2"/>
  <c r="V6" i="2"/>
  <c r="O6" i="2"/>
  <c r="T6" i="2"/>
  <c r="W6" i="2"/>
  <c r="M45" i="2"/>
  <c r="O45" i="2"/>
  <c r="Q45" i="2"/>
  <c r="T45" i="2"/>
  <c r="M42" i="2"/>
  <c r="O42" i="2"/>
  <c r="Q42" i="2"/>
  <c r="T42" i="2"/>
  <c r="T21" i="2"/>
  <c r="P15" i="2"/>
  <c r="U15" i="2"/>
  <c r="M15" i="2"/>
  <c r="O15" i="2"/>
  <c r="Q15" i="2"/>
  <c r="T15" i="2"/>
  <c r="O3" i="2"/>
  <c r="T3" i="2"/>
  <c r="M3" i="2"/>
  <c r="Q3" i="2"/>
  <c r="V3" i="2"/>
  <c r="N3" i="2"/>
  <c r="P3" i="2"/>
  <c r="S3" i="2"/>
  <c r="U3" i="2"/>
  <c r="S12" i="2"/>
  <c r="O12" i="2"/>
  <c r="T12" i="2"/>
  <c r="P12" i="2"/>
  <c r="U12" i="2"/>
  <c r="M12" i="2"/>
  <c r="Q12" i="2"/>
  <c r="M6" i="2"/>
  <c r="S6" i="2"/>
  <c r="P6" i="2"/>
  <c r="V48" i="2"/>
  <c r="Q48" i="2"/>
  <c r="M48" i="2"/>
  <c r="U48" i="2"/>
  <c r="P48" i="2"/>
  <c r="T48" i="2"/>
  <c r="O48" i="2"/>
  <c r="W48" i="2"/>
  <c r="S48" i="2"/>
  <c r="N48" i="2"/>
  <c r="T36" i="2"/>
  <c r="O36" i="2"/>
  <c r="W36" i="2"/>
  <c r="S36" i="2"/>
  <c r="N36" i="2"/>
  <c r="V36" i="2"/>
  <c r="Q36" i="2"/>
  <c r="M36" i="2"/>
  <c r="U36" i="2"/>
  <c r="P36" i="2"/>
  <c r="V24" i="2"/>
  <c r="Q24" i="2"/>
  <c r="M24" i="2"/>
  <c r="U24" i="2"/>
  <c r="P24" i="2"/>
  <c r="T24" i="2"/>
  <c r="O24" i="2"/>
  <c r="W24" i="2"/>
  <c r="S24" i="2"/>
  <c r="N24" i="2"/>
  <c r="V30" i="2"/>
  <c r="Q30" i="2"/>
  <c r="M30" i="2"/>
  <c r="U30" i="2"/>
  <c r="P30" i="2"/>
  <c r="T30" i="2"/>
  <c r="O30" i="2"/>
  <c r="W30" i="2"/>
  <c r="S30" i="2"/>
  <c r="N30" i="2"/>
  <c r="T18" i="2"/>
  <c r="O18" i="2"/>
  <c r="W18" i="2"/>
  <c r="S18" i="2"/>
  <c r="N18" i="2"/>
  <c r="V18" i="2"/>
  <c r="Q18" i="2"/>
  <c r="M18" i="2"/>
  <c r="U18" i="2"/>
  <c r="P18" i="2"/>
</calcChain>
</file>

<file path=xl/sharedStrings.xml><?xml version="1.0" encoding="utf-8"?>
<sst xmlns="http://schemas.openxmlformats.org/spreadsheetml/2006/main" count="526" uniqueCount="265">
  <si>
    <t>FACTOR A</t>
  </si>
  <si>
    <t>A</t>
  </si>
  <si>
    <t>B</t>
  </si>
  <si>
    <t>C</t>
  </si>
  <si>
    <t>FACTOR C</t>
  </si>
  <si>
    <t>FACTOR F</t>
  </si>
  <si>
    <t>FACTOR H</t>
  </si>
  <si>
    <t>FACTOR L</t>
  </si>
  <si>
    <t>FACTOR N</t>
  </si>
  <si>
    <t>FACTOR Q1</t>
  </si>
  <si>
    <t>FACTOR Q3</t>
  </si>
  <si>
    <t>FACTOR B</t>
  </si>
  <si>
    <t>FACTOR O</t>
  </si>
  <si>
    <t>FACTOR Q2</t>
  </si>
  <si>
    <t>FACTOR Q4</t>
  </si>
  <si>
    <t>PREGUNTA</t>
  </si>
  <si>
    <t>FACTOR E</t>
  </si>
  <si>
    <t>FACTOR G</t>
  </si>
  <si>
    <t>FACTOR I</t>
  </si>
  <si>
    <t>FACTOR M</t>
  </si>
  <si>
    <t>PUNTAJE</t>
  </si>
  <si>
    <t>E</t>
  </si>
  <si>
    <t>F</t>
  </si>
  <si>
    <t>G</t>
  </si>
  <si>
    <t>H</t>
  </si>
  <si>
    <t>I</t>
  </si>
  <si>
    <t>L</t>
  </si>
  <si>
    <t>M</t>
  </si>
  <si>
    <t>N</t>
  </si>
  <si>
    <t>O</t>
  </si>
  <si>
    <t>Q1</t>
  </si>
  <si>
    <t>Q2</t>
  </si>
  <si>
    <t>Q3</t>
  </si>
  <si>
    <t>Q4</t>
  </si>
  <si>
    <t>FACTOR</t>
  </si>
  <si>
    <t>TOTAL</t>
  </si>
  <si>
    <t>ESTENES</t>
  </si>
  <si>
    <t>HOMBRES</t>
  </si>
  <si>
    <t>PUNTUACION DE ESTENES</t>
  </si>
  <si>
    <r>
      <t xml:space="preserve">AFECTADO POR SENTIMIENTOS, </t>
    </r>
    <r>
      <rPr>
        <sz val="9"/>
        <color theme="1"/>
        <rFont val="Calibri"/>
        <family val="2"/>
        <scheme val="minor"/>
      </rPr>
      <t>MENOS ESTABILIDAD EMOCIONAL, PERTURBABLE</t>
    </r>
  </si>
  <si>
    <r>
      <rPr>
        <b/>
        <sz val="9"/>
        <color theme="1"/>
        <rFont val="Calibri"/>
        <family val="2"/>
        <scheme val="minor"/>
      </rPr>
      <t xml:space="preserve">MENOS INTELIGENTE, </t>
    </r>
    <r>
      <rPr>
        <sz val="9"/>
        <color theme="1"/>
        <rFont val="Calibri"/>
        <family val="2"/>
        <scheme val="minor"/>
      </rPr>
      <t>PENSAMIENTO CONCRETO</t>
    </r>
  </si>
  <si>
    <r>
      <rPr>
        <b/>
        <sz val="9"/>
        <color theme="1"/>
        <rFont val="Calibri"/>
        <family val="2"/>
        <scheme val="minor"/>
      </rPr>
      <t>RESERVADO</t>
    </r>
    <r>
      <rPr>
        <sz val="9"/>
        <color theme="1"/>
        <rFont val="Calibri"/>
        <family val="2"/>
        <scheme val="minor"/>
      </rPr>
      <t>, DISCRETO, CRITICO, APARTADO, FLEXIBLE</t>
    </r>
  </si>
  <si>
    <r>
      <t xml:space="preserve">SUMIDO, </t>
    </r>
    <r>
      <rPr>
        <sz val="9"/>
        <color theme="1"/>
        <rFont val="Calibri"/>
        <family val="2"/>
        <scheme val="minor"/>
      </rPr>
      <t>INDULGENTE, OBEDIENTE, DOCIL, SERVICIAL</t>
    </r>
  </si>
  <si>
    <r>
      <t xml:space="preserve">SOBRIO, </t>
    </r>
    <r>
      <rPr>
        <sz val="9"/>
        <color theme="1"/>
        <rFont val="Calibri"/>
        <family val="2"/>
        <scheme val="minor"/>
      </rPr>
      <t>TACITURNO, SERIO</t>
    </r>
  </si>
  <si>
    <r>
      <t xml:space="preserve">ACTIVO, </t>
    </r>
    <r>
      <rPr>
        <sz val="9"/>
        <color theme="1"/>
        <rFont val="Calibri"/>
        <family val="2"/>
        <scheme val="minor"/>
      </rPr>
      <t>DESACATA LAS REGLAS</t>
    </r>
  </si>
  <si>
    <r>
      <rPr>
        <b/>
        <sz val="9"/>
        <color theme="1"/>
        <rFont val="Calibri"/>
        <family val="2"/>
        <scheme val="minor"/>
      </rPr>
      <t xml:space="preserve">RECATADO, </t>
    </r>
    <r>
      <rPr>
        <sz val="9"/>
        <color theme="1"/>
        <rFont val="Calibri"/>
        <family val="2"/>
        <scheme val="minor"/>
      </rPr>
      <t>TIMIDO, REPRIMIDO</t>
    </r>
  </si>
  <si>
    <r>
      <t xml:space="preserve">CALCULADOR, </t>
    </r>
    <r>
      <rPr>
        <sz val="9"/>
        <color theme="1"/>
        <rFont val="Calibri"/>
        <family val="2"/>
        <scheme val="minor"/>
      </rPr>
      <t>CONFIANDO EN SI MISMO, REALISTA</t>
    </r>
  </si>
  <si>
    <r>
      <t xml:space="preserve">CONFIADO, </t>
    </r>
    <r>
      <rPr>
        <sz val="9"/>
        <color theme="1"/>
        <rFont val="Calibri"/>
        <family val="2"/>
        <scheme val="minor"/>
      </rPr>
      <t>ACEPTA CONDICIONES</t>
    </r>
  </si>
  <si>
    <r>
      <t xml:space="preserve">PRACTICO, </t>
    </r>
    <r>
      <rPr>
        <sz val="9"/>
        <color theme="1"/>
        <rFont val="Calibri"/>
        <family val="2"/>
        <scheme val="minor"/>
      </rPr>
      <t>TIENE PREOCUPACIONES REALES</t>
    </r>
  </si>
  <si>
    <r>
      <t xml:space="preserve">INGENUO, </t>
    </r>
    <r>
      <rPr>
        <sz val="9"/>
        <color theme="1"/>
        <rFont val="Calibri"/>
        <family val="2"/>
        <scheme val="minor"/>
      </rPr>
      <t>SIN PRETENCIONES, SINCERO PERSO SOCIALMENTE TORPE</t>
    </r>
  </si>
  <si>
    <r>
      <t xml:space="preserve">SEGURO DE SI MISMO, </t>
    </r>
    <r>
      <rPr>
        <sz val="9"/>
        <color theme="1"/>
        <rFont val="Calibri"/>
        <family val="2"/>
        <scheme val="minor"/>
      </rPr>
      <t>APACIBLE SEGURO, COMPLACIENTE, SERENO</t>
    </r>
  </si>
  <si>
    <r>
      <rPr>
        <b/>
        <sz val="9"/>
        <color theme="1"/>
        <rFont val="Calibri"/>
        <family val="2"/>
        <scheme val="minor"/>
      </rPr>
      <t xml:space="preserve">CONSERVADOR, </t>
    </r>
    <r>
      <rPr>
        <sz val="9"/>
        <color theme="1"/>
        <rFont val="Calibri"/>
        <family val="2"/>
        <scheme val="minor"/>
      </rPr>
      <t>RESPETUOSO DE LAS IDEAS ESTABLECIDAS</t>
    </r>
  </si>
  <si>
    <r>
      <rPr>
        <b/>
        <sz val="9"/>
        <color theme="1"/>
        <rFont val="Calibri"/>
        <family val="2"/>
        <scheme val="minor"/>
      </rPr>
      <t xml:space="preserve">DEPENDIENTE DEL GRUPO, </t>
    </r>
    <r>
      <rPr>
        <sz val="9"/>
        <color theme="1"/>
        <rFont val="Calibri"/>
        <family val="2"/>
        <scheme val="minor"/>
      </rPr>
      <t>SE "ADHIERE", Y ES UN SEGUIDOR EJEMPLAR</t>
    </r>
  </si>
  <si>
    <r>
      <rPr>
        <b/>
        <sz val="9"/>
        <color theme="1"/>
        <rFont val="Calibri"/>
        <family val="2"/>
        <scheme val="minor"/>
      </rPr>
      <t xml:space="preserve">INCONTROLADO, </t>
    </r>
    <r>
      <rPr>
        <sz val="9"/>
        <color theme="1"/>
        <rFont val="Calibri"/>
        <family val="2"/>
        <scheme val="minor"/>
      </rPr>
      <t>FLOJO, SIGUE SUS PROPIAS IMPUSOS, INDIFERENTE A LAS REGLAS</t>
    </r>
  </si>
  <si>
    <r>
      <rPr>
        <b/>
        <sz val="9"/>
        <color theme="1"/>
        <rFont val="Calibri"/>
        <family val="2"/>
        <scheme val="minor"/>
      </rPr>
      <t xml:space="preserve">RELAJADO, </t>
    </r>
    <r>
      <rPr>
        <sz val="9"/>
        <color theme="1"/>
        <rFont val="Calibri"/>
        <family val="2"/>
        <scheme val="minor"/>
      </rPr>
      <t>TRANQUILO, NO FRUSTRADO, SERENO.</t>
    </r>
  </si>
  <si>
    <r>
      <rPr>
        <b/>
        <sz val="9"/>
        <color theme="1"/>
        <rFont val="Calibri"/>
        <family val="2"/>
        <scheme val="minor"/>
      </rPr>
      <t xml:space="preserve">EXPRESIVO, </t>
    </r>
    <r>
      <rPr>
        <sz val="9"/>
        <color theme="1"/>
        <rFont val="Calibri"/>
        <family val="2"/>
        <scheme val="minor"/>
      </rPr>
      <t>AFECTUOSO, COMPLACIENTE, PARTICIPANTE</t>
    </r>
  </si>
  <si>
    <r>
      <rPr>
        <b/>
        <sz val="9"/>
        <color theme="1"/>
        <rFont val="Calibri"/>
        <family val="2"/>
        <scheme val="minor"/>
      </rPr>
      <t xml:space="preserve">MAS INTELIGENTE, </t>
    </r>
    <r>
      <rPr>
        <sz val="9"/>
        <color theme="1"/>
        <rFont val="Calibri"/>
        <family val="2"/>
        <scheme val="minor"/>
      </rPr>
      <t>PENSAMIENTO ABSTRACTO, BRILLANTE</t>
    </r>
  </si>
  <si>
    <r>
      <t xml:space="preserve">EMOCIONALMENTE ESTABLE, </t>
    </r>
    <r>
      <rPr>
        <sz val="9"/>
        <color theme="1"/>
        <rFont val="Calibri"/>
        <family val="2"/>
        <scheme val="minor"/>
      </rPr>
      <t>MADURO, SE ENFRENTA A LA REALIDAD</t>
    </r>
  </si>
  <si>
    <r>
      <t xml:space="preserve">AFIRMATIVO, </t>
    </r>
    <r>
      <rPr>
        <sz val="9"/>
        <color theme="1"/>
        <rFont val="Calibri"/>
        <family val="2"/>
        <scheme val="minor"/>
      </rPr>
      <t>AGRESIVO, TERCO, COMPETITIVO</t>
    </r>
  </si>
  <si>
    <r>
      <t xml:space="preserve">DESPREOCUPADO, </t>
    </r>
    <r>
      <rPr>
        <sz val="9"/>
        <color theme="1"/>
        <rFont val="Calibri"/>
        <family val="2"/>
        <scheme val="minor"/>
      </rPr>
      <t>ENTUSIASTA</t>
    </r>
  </si>
  <si>
    <r>
      <t xml:space="preserve">ESCRUPULOSO, </t>
    </r>
    <r>
      <rPr>
        <sz val="9"/>
        <color theme="1"/>
        <rFont val="Calibri"/>
        <family val="2"/>
        <scheme val="minor"/>
      </rPr>
      <t>PERSISTENTE, MORALISTA, JUICIOSO</t>
    </r>
  </si>
  <si>
    <r>
      <rPr>
        <b/>
        <sz val="9"/>
        <color theme="1"/>
        <rFont val="Calibri"/>
        <family val="2"/>
        <scheme val="minor"/>
      </rPr>
      <t xml:space="preserve">AVENTURADO, </t>
    </r>
    <r>
      <rPr>
        <sz val="9"/>
        <color theme="1"/>
        <rFont val="Calibri"/>
        <family val="2"/>
        <scheme val="minor"/>
      </rPr>
      <t>DESINHIBIDO, GUSTO POR CONOCER GENTE</t>
    </r>
  </si>
  <si>
    <r>
      <t xml:space="preserve">AFECTUOSO, </t>
    </r>
    <r>
      <rPr>
        <sz val="9"/>
        <color theme="1"/>
        <rFont val="Calibri"/>
        <family val="2"/>
        <scheme val="minor"/>
      </rPr>
      <t>SENSITIVO, DEPENDIENTE, SOBREPROTEGIDO</t>
    </r>
  </si>
  <si>
    <r>
      <t xml:space="preserve">DESCONFIADO, </t>
    </r>
    <r>
      <rPr>
        <sz val="9"/>
        <color theme="1"/>
        <rFont val="Calibri"/>
        <family val="2"/>
        <scheme val="minor"/>
      </rPr>
      <t>SUSPICAZ</t>
    </r>
  </si>
  <si>
    <r>
      <t xml:space="preserve">IMAGINATIVO, </t>
    </r>
    <r>
      <rPr>
        <sz val="9"/>
        <color theme="1"/>
        <rFont val="Calibri"/>
        <family val="2"/>
        <scheme val="minor"/>
      </rPr>
      <t>BOHEMIO, DISTRAIDO</t>
    </r>
  </si>
  <si>
    <r>
      <t xml:space="preserve">ASTUTO, </t>
    </r>
    <r>
      <rPr>
        <sz val="9"/>
        <color theme="1"/>
        <rFont val="Calibri"/>
        <family val="2"/>
        <scheme val="minor"/>
      </rPr>
      <t>CULTIVADO, SOCIALMENTE CONSCIENTE</t>
    </r>
  </si>
  <si>
    <r>
      <t xml:space="preserve">APRENSIVO, </t>
    </r>
    <r>
      <rPr>
        <sz val="9"/>
        <color theme="1"/>
        <rFont val="Calibri"/>
        <family val="2"/>
        <scheme val="minor"/>
      </rPr>
      <t>AUTORRECRIMINANTE, INSEGURO, PREOCUPADO</t>
    </r>
  </si>
  <si>
    <r>
      <rPr>
        <b/>
        <sz val="9"/>
        <color theme="1"/>
        <rFont val="Calibri"/>
        <family val="2"/>
        <scheme val="minor"/>
      </rPr>
      <t xml:space="preserve">EXPERIMENTADOR, </t>
    </r>
    <r>
      <rPr>
        <sz val="9"/>
        <color theme="1"/>
        <rFont val="Calibri"/>
        <family val="2"/>
        <scheme val="minor"/>
      </rPr>
      <t>LIBERAL, PENSAMIENTO LIBRE</t>
    </r>
  </si>
  <si>
    <r>
      <rPr>
        <b/>
        <sz val="9"/>
        <color theme="1"/>
        <rFont val="Calibri"/>
        <family val="2"/>
        <scheme val="minor"/>
      </rPr>
      <t xml:space="preserve">AUTOSUFICIENTE, </t>
    </r>
    <r>
      <rPr>
        <sz val="9"/>
        <color theme="1"/>
        <rFont val="Calibri"/>
        <family val="2"/>
        <scheme val="minor"/>
      </rPr>
      <t>RICO EN SUS RECURSOS, PREFIERE SUS PROPIAS DECISIONES</t>
    </r>
  </si>
  <si>
    <r>
      <rPr>
        <b/>
        <sz val="9"/>
        <color theme="1"/>
        <rFont val="Calibri"/>
        <family val="2"/>
        <scheme val="minor"/>
      </rPr>
      <t xml:space="preserve">CONTROLADO, </t>
    </r>
    <r>
      <rPr>
        <sz val="9"/>
        <color theme="1"/>
        <rFont val="Calibri"/>
        <family val="2"/>
        <scheme val="minor"/>
      </rPr>
      <t>FIRME, FUERZA DE VOLUNTAD, ESCRUPULOSO SOCIALMENTE, COMPULSIVO</t>
    </r>
  </si>
  <si>
    <r>
      <rPr>
        <b/>
        <sz val="9"/>
        <color theme="1"/>
        <rFont val="Calibri"/>
        <family val="2"/>
        <scheme val="minor"/>
      </rPr>
      <t xml:space="preserve">TENSO, </t>
    </r>
    <r>
      <rPr>
        <sz val="9"/>
        <color theme="1"/>
        <rFont val="Calibri"/>
        <family val="2"/>
        <scheme val="minor"/>
      </rPr>
      <t>FRUSTRADO, IMPULSIVO, SOBREEXITADO</t>
    </r>
  </si>
  <si>
    <t>BAJA PUNTUACION DESCRIPCION</t>
  </si>
  <si>
    <t>ALTA PUNTUACION DESCRIPCION</t>
  </si>
  <si>
    <t>16 PF</t>
  </si>
  <si>
    <t>TEST DE PERSONALIDAD</t>
  </si>
  <si>
    <t>EDAD:</t>
  </si>
  <si>
    <t>1. Entendí perfectamente las instrucciones de este cuestionario:</t>
  </si>
  <si>
    <t>2. Estoy dispuesto a contestar cada pregunta tan sinceramente como me sea posible</t>
  </si>
  <si>
    <t>3. Preferiría tener una casa:</t>
  </si>
  <si>
    <t>4. Yo tengo la energía suficiente para enfrentarme a mis dificultades:</t>
  </si>
  <si>
    <t>5. Me siento un poco nervioso ante los animales salvajes aunque estén enjaulados:</t>
  </si>
  <si>
    <t>6. Evito criticar a las personas y a sus ideas</t>
  </si>
  <si>
    <t>7. Yo hago observaciones sarcásticas a las personas que creo que se las merecen</t>
  </si>
  <si>
    <t>8. Yo prefiero la musica semiclásica que las canciones populares</t>
  </si>
  <si>
    <t>9.Si yo viera pelear a los niños de mi vecino</t>
  </si>
  <si>
    <t>10. En las reuniones sociales:</t>
  </si>
  <si>
    <t>11. Yo preferiría ser:</t>
  </si>
  <si>
    <t>12. Yo prefiero detenerme a observar a un artista pintando que a escuchar a algunas personas discutiendo violentamente:</t>
  </si>
  <si>
    <t>13. Casi siempre puedo tolerar a la gente vanidosa que se cree la gran cosa:</t>
  </si>
  <si>
    <t>14. Cuando un hombre es deshonesto, casi siempre lo puedes notar en su cara:</t>
  </si>
  <si>
    <t>15. Sería mejor que las vacaciones fueran más largas y que todos tuvieran que tomarlas</t>
  </si>
  <si>
    <t>16. Preferiria correr el riesgo de un trabajo con un sueldo elevando aunque irregular, que un trabajo con un sueldo menor y constante:</t>
  </si>
  <si>
    <t>17. Yo hablo sobre mis sentimientos:</t>
  </si>
  <si>
    <t>18. En ocasiones tengo la sensacion de un vago peligro, o un miedo súibito por razones que no comprendo</t>
  </si>
  <si>
    <t>19. Cuando me regañan por algo que no hice, no me siento culpable:</t>
  </si>
  <si>
    <t>20. Con dinero puedo comprar casi todo</t>
  </si>
  <si>
    <t>21. En mis decisiones influyen mis</t>
  </si>
  <si>
    <t>22. La mayoría de las personas serían mas felices si se relacionaran más con sus semejantes e hicieran lo mismo que otros</t>
  </si>
  <si>
    <t>23. Cuando me veo en un espejo, algunas veces confundo cual es la derecha y cuál es la izquierda</t>
  </si>
  <si>
    <t xml:space="preserve">24. Cuando estoy platicando me gusta: </t>
  </si>
  <si>
    <t>25.Cuando algo en verdad me pone furioso, por lo general me calmo rápidamente</t>
  </si>
  <si>
    <t>26. Si yo tuviera el mismo sueldo y horaroi me gustaría más trabajar como:</t>
  </si>
  <si>
    <t>27. Yo soy apto para:</t>
  </si>
  <si>
    <t>28. "Pala" es a "cavar" como "cuchillo" es a:</t>
  </si>
  <si>
    <t>29.  A veces no puedo dormir porque una idea me da vueltas en la cabeza</t>
  </si>
  <si>
    <t>30. En mi vida privada, casi siempre alcanzo las metas que me propongo</t>
  </si>
  <si>
    <t xml:space="preserve">31. Cuando una ley es anticuada debe ser cambiada: </t>
  </si>
  <si>
    <t xml:space="preserve">32. Me disgusta trabajar en un proyecto en el que se toman medidas rápidas que afectan a otros </t>
  </si>
  <si>
    <t xml:space="preserve">33. La mayoría de la gente que conozco me considera como un conversador agradable. </t>
  </si>
  <si>
    <t xml:space="preserve">34. Cuando veo a personas desaliñadas y desaseadas, yo: </t>
  </si>
  <si>
    <t>35. Me siento un poco apenado si de repente me convierto en el centro de atención en una reunión social:</t>
  </si>
  <si>
    <t>36. Siempre me gusta participar en reuniones concurridas, por ejemplo: una fiesta.</t>
  </si>
  <si>
    <t xml:space="preserve">37. En la escuela prefiero (o preferi): </t>
  </si>
  <si>
    <t xml:space="preserve">38. Cuando estoy encargado de hacer algo, yo insisto en que se sigan mis instrucciones o bien renuncio: </t>
  </si>
  <si>
    <t>39. Para los padres es más importante:</t>
  </si>
  <si>
    <t>40. En una tarea de grupo, yo más bien trataría de:</t>
  </si>
  <si>
    <t xml:space="preserve">41. De vez en cuando siento la necesidad de realizar actividades físicas rudas o pesadas. </t>
  </si>
  <si>
    <t>42. Preferiría juntarme con gente bien educada a juntarme con individuos toscos y rebeldes:</t>
  </si>
  <si>
    <t xml:space="preserve">43. Me siento muy afligido cuando la gente me critica en público. </t>
  </si>
  <si>
    <t xml:space="preserve">44. Cuando el jefe (o el maestro) me llama: </t>
  </si>
  <si>
    <t xml:space="preserve">45. Lo que este mundo necesita son: </t>
  </si>
  <si>
    <t xml:space="preserve">46. En todo lo que leo, estoy siempre pendiente de las intenciones propagandistas. </t>
  </si>
  <si>
    <t xml:space="preserve">47.De adolescente participé en los deportes escolares: </t>
  </si>
  <si>
    <t>48. Yo conservo mi cuarto bien arreglado, con cada cosa en su lugar.</t>
  </si>
  <si>
    <t xml:space="preserve">49. A veces me pongo tenso e inquieto cuando pienso en los sucesos del día. </t>
  </si>
  <si>
    <t xml:space="preserve">50. A veces dudo que la gente con la que hablo se interese realmente en lo que digo. </t>
  </si>
  <si>
    <t xml:space="preserve">51. Si tuviera que escoger, preferiría ser: </t>
  </si>
  <si>
    <t>52. En santos y cumpleaños:</t>
  </si>
  <si>
    <t xml:space="preserve">53. 'Cansado" es a "trabajo" como "orgullo" es a: </t>
  </si>
  <si>
    <t xml:space="preserve">54. ¿ Cuál de las siguientes palabras es de clase distinta a las otras dos? </t>
  </si>
  <si>
    <t>55. He sido abandonado por mis amigos:</t>
  </si>
  <si>
    <t xml:space="preserve">56. Yo tengo algunas cualidades por lo que me siento superior a la mayoría de la gente. </t>
  </si>
  <si>
    <t xml:space="preserve">57. Cuando me enojo, yo me esfuerzo por ocultar mis sentimientos a los demás. </t>
  </si>
  <si>
    <t>58. Me gusta asistir a espectáculos, o ir a fiestas:</t>
  </si>
  <si>
    <t>59. Pienso que suficiente libertad es más importante que las buenas costumbres y el respeto a la ley.</t>
  </si>
  <si>
    <t>60. En presencia de personas de mayor experiencia, edad o posición, tiendo a permanecer callado</t>
  </si>
  <si>
    <t xml:space="preserve">61.Se me hace difícil hablar o recitar frente a un grupo numeroso. </t>
  </si>
  <si>
    <t>62. Cuando estoy en un lugar extraño, tengo un buen sentido de la orientación (encuentro fácilmente donde está el Norte, Sur, Este y Oeste</t>
  </si>
  <si>
    <t>63. Si alguien se enoja conmigo, yo</t>
  </si>
  <si>
    <t xml:space="preserve">64. Cuando leo un artículo tendencioso o injusto en una revista tiendo a olvidarlo, más que a sentir ganas de "devolverles el golpe" </t>
  </si>
  <si>
    <t xml:space="preserve">65. Tiendo a olvidar muchas cosas triviales y sin importancia, como nombres de calles o de tiendas. </t>
  </si>
  <si>
    <t>66. Me gustaría llevar la vida de un veterinario, curando y operando animales</t>
  </si>
  <si>
    <t xml:space="preserve">67. Yo como mis alimentos con placer, aunque no siempre tan cuidadosa y apropiadamente como algunas personas </t>
  </si>
  <si>
    <t xml:space="preserve">68. Algunas veces no tengo ganas de ver a nadie: </t>
  </si>
  <si>
    <t xml:space="preserve">69. A veces las personas me dicen que muestro de manera demasiado clara mi agitación. </t>
  </si>
  <si>
    <t xml:space="preserve">70. De adolescente, si mi opinión era distinta a la de mis padres, yo por lo general: </t>
  </si>
  <si>
    <t xml:space="preserve">71. Me gustaría tener una oficina para mi, que no fuera compartida con otra persona. </t>
  </si>
  <si>
    <t xml:space="preserve">72. Preferiría disfrutar la vida discretamente a mi manera, más que ser admirado por mis éxitos. </t>
  </si>
  <si>
    <t xml:space="preserve">73. Me siento maduro en la mayoría de mis actos: </t>
  </si>
  <si>
    <t>74. Cuando la gente me critica me enojo, en vez de sentirme ayudado</t>
  </si>
  <si>
    <t xml:space="preserve">75. Estoy dispuesto a expresar mis sentimientos sólo bajo mi estricto control. </t>
  </si>
  <si>
    <t>76. Al inventar algo útil, preferiría</t>
  </si>
  <si>
    <t>77. "Sorpresa" es a "extraño" como "miedo" es a</t>
  </si>
  <si>
    <t xml:space="preserve">78. Cuál de las siguientes fracciones es distinta a las otras dos? </t>
  </si>
  <si>
    <t xml:space="preserve">79. Yo no sé por qué, pero algunas personas como que me ignoran o me evitan. </t>
  </si>
  <si>
    <t xml:space="preserve">80. Las personas me tratan con menos consideración de lo que merecen mis buenas intenciones </t>
  </si>
  <si>
    <t xml:space="preserve">81. En un grupo, me molesta que se digan albures o groserías aun cuando no haya mujeres delante. </t>
  </si>
  <si>
    <t xml:space="preserve">82. Yo tengo indudablemente menos amigos que la mayoría de la </t>
  </si>
  <si>
    <t xml:space="preserve">83. Detestaría estar en un lugar donde no hubiera muchas personas con quien platicar </t>
  </si>
  <si>
    <t>84. Las personas dicen que soy descuidado a veces, aunque ellas me consideren simpático</t>
  </si>
  <si>
    <t xml:space="preserve">85.  En distintas ocasiones de mí vida social, he experimentado miedo al público </t>
  </si>
  <si>
    <t>86.  Cuando estoy en un grupo pequeño, me agrada permanecer en silencio y mejor dejar que otros hablen.</t>
  </si>
  <si>
    <t>87. Yo prefiero leer</t>
  </si>
  <si>
    <t xml:space="preserve">88. Cuando la gente mandona trata de imponerse, yo hago exactamente lo contrario de lo que ellas quieren. </t>
  </si>
  <si>
    <t>89. Es una regla que mis jefes o los miembros de mi familia me consideren culpable sólo si existe una razón real</t>
  </si>
  <si>
    <t xml:space="preserve">90. Me desagrada la manera como algunas personas observan con descaro o sin recato a otras, en las calles o en las tiendas. </t>
  </si>
  <si>
    <t xml:space="preserve">91. En un viaje largo, preferiría: </t>
  </si>
  <si>
    <t xml:space="preserve">92. En una situación que puede volverse peligrosa, yo creo conveniente hacer ruido y escándalo, aunque se pierda la serenidad y la cortesía. </t>
  </si>
  <si>
    <t>93. Si mis conocidos me tratan mal y me demuestran que les disgusto</t>
  </si>
  <si>
    <t>94. Las alabanzas y los cumplidos que me dicen, me desagradan</t>
  </si>
  <si>
    <t xml:space="preserve">95. Me gustaría más bien tener un trabajo con: </t>
  </si>
  <si>
    <t>96. Para mantenerme informado, yo prefiero:</t>
  </si>
  <si>
    <t xml:space="preserve">97. Me gusta tomar parte activa en asuntos sociales, comités, etc </t>
  </si>
  <si>
    <t xml:space="preserve">98. En el desempeño de una tarea, no estoy satisfecho hasta que no se ha realizado con atención el más mínimo detalle. </t>
  </si>
  <si>
    <t>99. A veces pequeñas contrariedades me irritan demasiado,</t>
  </si>
  <si>
    <t xml:space="preserve">100. Yo siempre duermo profundo, nunca hablo ni camino durmiendo </t>
  </si>
  <si>
    <t xml:space="preserve">101. Sería muy interesante trabajar en una empresa: </t>
  </si>
  <si>
    <t>102. "Tamaño" es a "longitud" como "deshonestidad" es a</t>
  </si>
  <si>
    <t xml:space="preserve">104. Cuando la gente no es razonable: </t>
  </si>
  <si>
    <t xml:space="preserve">105. Si alguien habla en voz alta cuando estoy escuchando música : </t>
  </si>
  <si>
    <t>106. Creo que soy bien descrito como:</t>
  </si>
  <si>
    <t xml:space="preserve">107. Asisto a reuniones sociales sólo cuando tengo que hacerla, de otra manera trato de evitarlas. </t>
  </si>
  <si>
    <t xml:space="preserve">108. Ser precavido y esperar poco es mejor que ser optimista y esperar siempre el éxito. </t>
  </si>
  <si>
    <t xml:space="preserve">109. Cuando pienso en las dificultades de mi trabajo: </t>
  </si>
  <si>
    <t xml:space="preserve">110. Para mí es fácil incorporarme con las personas en una reunión social. </t>
  </si>
  <si>
    <t xml:space="preserve">111. Cuando un poco de diplomacia y persuasión son necesarias para que la gente actúe, yo generalmente soy el primero en fomentarlas. </t>
  </si>
  <si>
    <t>112. Seria muy interesante ser</t>
  </si>
  <si>
    <t>113.Si estoy completamente seguro de que una persona es injusta o es egoísta, se lo digo, aunque me traiga problemas</t>
  </si>
  <si>
    <t>114. A veces yo hago observaciones tontas en broma, sólo para que las personas se sorprendan y ver qué es lo que dicen</t>
  </si>
  <si>
    <t>115. Me gustaría ser reportero de teatro. ópera, conciertos</t>
  </si>
  <si>
    <t>116. Yo nunca siento la necesidad de hacer garabatos ni ponerme nervioso cuando estoy en una reunión</t>
  </si>
  <si>
    <t>117. Si alguien me dice algo, que sé que es falso, yo muy probablemente me diga:</t>
  </si>
  <si>
    <t xml:space="preserve">118. Yo siento que me van a castigar, aun cuando no haya hecho nada malo: </t>
  </si>
  <si>
    <t xml:space="preserve">119.La idea de que las enfermedades tienen causas tanto físicas como mentales es muy exagerada. </t>
  </si>
  <si>
    <t>120.La pompa y el esplendor de cualquier ceremonia estatal son cosas que deben conservarse.</t>
  </si>
  <si>
    <t xml:space="preserve">121.Me molesta que las personas piensen que soy demasiado diferente o muy poco convencional. </t>
  </si>
  <si>
    <t>122. . En la elaboración de alguna cosa, más bien yo trabajaría:</t>
  </si>
  <si>
    <t>123. En algunos momentos me es difícil evitar un sentimiento de lástima hacia mí mismo.</t>
  </si>
  <si>
    <t xml:space="preserve">124. A menudo me enojo demasiado rápido con la gente. </t>
  </si>
  <si>
    <t xml:space="preserve">125.Yo puedo cambiar viejos hábitos sin dificultad, y sin volver a ellos. </t>
  </si>
  <si>
    <t xml:space="preserve">126.Si los salarios fueran los mismos, preferiría ser: </t>
  </si>
  <si>
    <t xml:space="preserve">127"Mejor" es a "peor" como "más lento" es a: </t>
  </si>
  <si>
    <t>128. ¿Cuáles de las siguientes letras deben ir al final de esta lista: x0000xx000xxx?</t>
  </si>
  <si>
    <t xml:space="preserve">129. Cuando llega la hora de algo que yo había planeado o anticipado, a veces no siento ganas de ir. </t>
  </si>
  <si>
    <t xml:space="preserve">130.Yo puedo trabajar con cuidado en muchas cosas, sin ser molestado por las personas que hacen ruido a mi alrededor. </t>
  </si>
  <si>
    <t xml:space="preserve">131.. A veces le cuento a personas desconocidas, cosas que me parecen importantes aunque no me las pregunten. </t>
  </si>
  <si>
    <t xml:space="preserve">132. Yo paso mucho de mi tiempo libre hablando con amigos sobre reuniones sociales en las que nos divertimos en el pasado. </t>
  </si>
  <si>
    <t>133. Me agrada hacer cosas temerarias y atrevidas nada más por gusto.</t>
  </si>
  <si>
    <t xml:space="preserve">134. La escena de un cuarto desarreglado me molesta. </t>
  </si>
  <si>
    <t xml:space="preserve">135.Me considero una persona muy sociable con la que es fácil llevarse. </t>
  </si>
  <si>
    <t xml:space="preserve">136. En mi trato social: </t>
  </si>
  <si>
    <t xml:space="preserve">137. Me gusta la música: </t>
  </si>
  <si>
    <t xml:space="preserve">138. Yo admiro más la belleza de un hermoso poema que la belleza de un arma bien hecha. </t>
  </si>
  <si>
    <t xml:space="preserve">139. Si nadie se da cuenta de una buena observación mia: </t>
  </si>
  <si>
    <t xml:space="preserve">140. Me gustaría trabajar como vigilante con criminales que estuvieran en libertad bajo palabra. </t>
  </si>
  <si>
    <t xml:space="preserve">141. Uno debe tener cuidado al mezclarse con toda clase de extraños, por el peligro de una infección. </t>
  </si>
  <si>
    <t xml:space="preserve">142. En un viaje al extranjero, yo preferiría ir en un "tour" planeado con un conductor de viajes experimentado, que planear por mí mismo los lugares que desearía visitar. </t>
  </si>
  <si>
    <t xml:space="preserve">143. Me consideran, acertadamente, como una persona trabajadora y de mediano éxito. </t>
  </si>
  <si>
    <t xml:space="preserve">144. Si las personas abusan de mi amistad. no lo resiento y lo olvido pronto. </t>
  </si>
  <si>
    <t xml:space="preserve">145. Si se desarrolla una discusión acalorada entre los miembros de un grupo, yo: </t>
  </si>
  <si>
    <t xml:space="preserve">146. Me gusta hacer mis planes yo solo, sin que nadie me interrumpa para aconsejarme. </t>
  </si>
  <si>
    <t>147. A veces dejo que mis acciones se vean influidas por mis celos.</t>
  </si>
  <si>
    <t xml:space="preserve">148. Yo creo firmemente que "el jefe pudiera no tener la razón, pero siempre tendrá la razón por ser el jefe". </t>
  </si>
  <si>
    <t xml:space="preserve">149. Me pongo tenso cuando pienso en todas las cosas que me aquejan. </t>
  </si>
  <si>
    <t xml:space="preserve">150. No me desconcierta que la gente me grite lo que tengo que hacer cuando estoy jugando. </t>
  </si>
  <si>
    <t xml:space="preserve">151. Preferiría la vida de: </t>
  </si>
  <si>
    <t xml:space="preserve">152¿Cuál de las siguientes palabras no corresponde a las otras dos? </t>
  </si>
  <si>
    <t xml:space="preserve">153. "Llama" es a "calor" corno "rosa" es a: </t>
  </si>
  <si>
    <t xml:space="preserve">154.Tengo sueños tan intensos que me inquietan cuando duermo. </t>
  </si>
  <si>
    <t xml:space="preserve">155.Aunque las probabilidades de que algo tenga éxito estén completamente en contra, sigo pensando en aceptar el riesgo. </t>
  </si>
  <si>
    <t xml:space="preserve">156. Me agrada saber bien lo que el grupo tiene que hacer para que así sea yo el que manda. </t>
  </si>
  <si>
    <t xml:space="preserve">158. Me llama más la atención pasar una tarde con un pasatiempo tranquilo que en una fiesta animada. </t>
  </si>
  <si>
    <t xml:space="preserve">159. No hago caso a las sugerencias bien intencionadas de los demás, aunque pienso que debería. </t>
  </si>
  <si>
    <t xml:space="preserve">160. Siempre mi criterio para cualquier decisión se basa en los principios del bien y el mal. </t>
  </si>
  <si>
    <t>161. Me disgusta un poco que un grupo me observe cuando trabajo.</t>
  </si>
  <si>
    <t xml:space="preserve">162.Debido a que no siempre es posible obtener las cosas por medio de métodos graduables y razonables, a veces es necesario usar la fuerza. </t>
  </si>
  <si>
    <t>163En la escuela prefiero (o preferí):</t>
  </si>
  <si>
    <t xml:space="preserve">164. A veces me causa problemas el que la gente hable mal de mí a mis espaldas, sin tener razón. </t>
  </si>
  <si>
    <t xml:space="preserve">165. Hablar con la gente convencional, común y corriente: </t>
  </si>
  <si>
    <t>166. Algunas cosas me enojan tanto que prefiero no hablar de ellas</t>
  </si>
  <si>
    <t xml:space="preserve">167. Es muy importante en la educación: </t>
  </si>
  <si>
    <t xml:space="preserve">168. La gente me considera una persona estable, sin perturbaciones, ante las buenas y malas de la vida. </t>
  </si>
  <si>
    <t xml:space="preserve">169. Pienso que la sociedad debe crear nuevas costumbres por razones modernas y eliminar viejas costumbres o simples tradiciones. </t>
  </si>
  <si>
    <t xml:space="preserve">170. Yo pienso que en el mundo actual es más importante resolver: </t>
  </si>
  <si>
    <t xml:space="preserve">171.Yo aprendo mejor </t>
  </si>
  <si>
    <t xml:space="preserve">172. Prefiero guiarme yo mismo en lugar de actuar según las reglas aprobadas. </t>
  </si>
  <si>
    <t xml:space="preserve">173.Prefiero esperar hasta que estoy seguro que es correcto lo que pienso decir, antes de exponer mis razones. </t>
  </si>
  <si>
    <t xml:space="preserve">174. Algunas cosas que no tienen importancia, "me ponen los nervios de punta". </t>
  </si>
  <si>
    <t xml:space="preserve">175.Pocas veces digo cosas que pienso sin reflexionar y que después tengo que lamentar grandemente. </t>
  </si>
  <si>
    <t xml:space="preserve">176. Si me pidieran que trabajara en una obra de caridad: </t>
  </si>
  <si>
    <t xml:space="preserve">177.¿Cuál de las siguientes palabras es distinta a las otras dos? </t>
  </si>
  <si>
    <t xml:space="preserve">178. "Pronto" es a "nunca", como "cerca" es </t>
  </si>
  <si>
    <t xml:space="preserve">179.Cuando cometo una torpeza social, yo puedo olvidarla pronto. </t>
  </si>
  <si>
    <t xml:space="preserve">180. Me reconocen como un "hombre de ideas" porque siempre se me ocurren algunas cuando hay algún problema. </t>
  </si>
  <si>
    <t xml:space="preserve">181. Yo creo que me muestro más: </t>
  </si>
  <si>
    <t>182. Me consideran como una persona muy entusiasta.</t>
  </si>
  <si>
    <t xml:space="preserve">183. Prefiero un trabajo con variedad, viajes y cambios aunque tenga riesgos. </t>
  </si>
  <si>
    <t>184. Soy una persona bastante estricta que insiste siempre en hacer las cosas tan correctamente como sea posible.</t>
  </si>
  <si>
    <t xml:space="preserve">185. Me agradan los trabajos que requieren concentración y habilidades precisas. </t>
  </si>
  <si>
    <t>186.  Me considero un tipo enérgico que se mantiene activo.</t>
  </si>
  <si>
    <t xml:space="preserve">187. Estoy seguro de haber contestado correctamente, y de no haber dejado ninguna pregunta sin contestar. </t>
  </si>
  <si>
    <t>APELLIDO Y NOMBRE:</t>
  </si>
  <si>
    <t>MUJERES</t>
  </si>
  <si>
    <t>103. AB es a DE como SR es a:</t>
  </si>
  <si>
    <t>157. Preferiría vestirme sencilla y correctamente, antes que con un estilo peculiar y llamativo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</si>
</sst>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12"/>
      <color rgb="FF000000"/>
      <name val="Times New Roman"/>
      <family val="1"/>
    </font>
    <font>
      <sz val="11"/>
      <color theme="1"/>
      <name val="Calibri"/>
      <family val="2"/>
      <scheme val="minor"/>
    </font>
    <font>
      <sz val="12"/>
      <color rgb="FF000000"/>
      <name val="Times New Roman"/>
      <family val="1"/>
    </font>
    <font>
      <sz val="48"/>
      <color theme="1"/>
      <name val="Times New Roman"/>
      <family val="1"/>
    </font>
    <font>
      <sz val="72"/>
      <color theme="1"/>
      <name val="Times New Roman"/>
      <family val="1"/>
    </font>
    <font>
      <b/>
      <sz val="72"/>
      <color theme="1"/>
      <name val="Times New Roman"/>
      <family val="1"/>
    </font>
    <font>
      <b/>
      <sz val="16"/>
      <color rgb="FF000000"/>
      <name val="Times New Roman"/>
      <family val="1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4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97">
    <xf numFmtId="0" fontId="0" fillId="0" borderId="0" xfId="0"/>
    <xf numFmtId="0" fontId="14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horizontal="justify" vertical="center"/>
    </xf>
    <xf numFmtId="0" fontId="12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/>
    <xf numFmtId="0" fontId="17" fillId="3" borderId="0" xfId="0" applyFont="1" applyFill="1" applyProtection="1">
      <protection locked="0"/>
    </xf>
    <xf numFmtId="0" fontId="17" fillId="3" borderId="16" xfId="0" applyFont="1" applyFill="1" applyBorder="1" applyProtection="1">
      <protection locked="0"/>
    </xf>
    <xf numFmtId="0" fontId="17" fillId="3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18" fillId="3" borderId="0" xfId="0" applyFont="1" applyFill="1" applyProtection="1">
      <protection locked="0"/>
    </xf>
    <xf numFmtId="0" fontId="17" fillId="3" borderId="0" xfId="0" applyFont="1" applyFill="1" applyAlignment="1" applyProtection="1">
      <protection locked="0"/>
    </xf>
    <xf numFmtId="0" fontId="19" fillId="3" borderId="0" xfId="0" applyFont="1" applyFill="1" applyProtection="1">
      <protection locked="0"/>
    </xf>
    <xf numFmtId="0" fontId="0" fillId="0" borderId="0" xfId="0" applyProtection="1">
      <protection locked="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 applyProtection="1">
      <alignment horizontal="center"/>
      <protection locked="0"/>
    </xf>
    <xf numFmtId="0" fontId="1" fillId="4" borderId="1" xfId="0" applyFont="1" applyFill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" fillId="0" borderId="12" xfId="0" applyFont="1" applyFill="1" applyBorder="1" applyAlignment="1" applyProtection="1">
      <alignment horizontal="center"/>
      <protection locked="0"/>
    </xf>
    <xf numFmtId="0" fontId="1" fillId="0" borderId="11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0" borderId="11" xfId="0" applyFont="1" applyFill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13" xfId="0" applyFont="1" applyFill="1" applyBorder="1" applyAlignment="1" applyProtection="1">
      <alignment horizontal="center"/>
      <protection locked="0"/>
    </xf>
    <xf numFmtId="0" fontId="1" fillId="2" borderId="7" xfId="0" applyFont="1" applyFill="1" applyBorder="1" applyAlignment="1" applyProtection="1">
      <alignment horizontal="center"/>
      <protection locked="0"/>
    </xf>
    <xf numFmtId="0" fontId="1" fillId="2" borderId="13" xfId="0" applyFont="1" applyFill="1" applyBorder="1" applyAlignment="1" applyProtection="1">
      <alignment horizontal="center"/>
      <protection locked="0"/>
    </xf>
    <xf numFmtId="0" fontId="1" fillId="2" borderId="5" xfId="0" applyFont="1" applyFill="1" applyBorder="1" applyAlignment="1" applyProtection="1">
      <alignment horizontal="center"/>
      <protection locked="0"/>
    </xf>
    <xf numFmtId="164" fontId="0" fillId="0" borderId="0" xfId="1" applyNumberFormat="1" applyFont="1" applyProtection="1">
      <protection locked="0"/>
    </xf>
    <xf numFmtId="9" fontId="0" fillId="0" borderId="0" xfId="1" applyNumberFormat="1" applyFont="1" applyProtection="1">
      <protection locked="0"/>
    </xf>
    <xf numFmtId="0" fontId="21" fillId="3" borderId="0" xfId="0" applyFont="1" applyFill="1" applyProtection="1">
      <protection locked="0"/>
    </xf>
    <xf numFmtId="0" fontId="1" fillId="0" borderId="12" xfId="0" applyFont="1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0" fillId="0" borderId="11" xfId="0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1" fillId="0" borderId="11" xfId="0" applyFont="1" applyBorder="1" applyAlignment="1" applyProtection="1">
      <alignment horizontal="center"/>
      <protection hidden="1"/>
    </xf>
    <xf numFmtId="0" fontId="1" fillId="0" borderId="13" xfId="0" applyFont="1" applyBorder="1" applyAlignment="1" applyProtection="1">
      <alignment horizontal="center"/>
      <protection hidden="1"/>
    </xf>
    <xf numFmtId="0" fontId="1" fillId="0" borderId="11" xfId="0" applyFont="1" applyFill="1" applyBorder="1" applyAlignment="1" applyProtection="1">
      <alignment horizontal="center"/>
      <protection hidden="1"/>
    </xf>
    <xf numFmtId="0" fontId="22" fillId="3" borderId="0" xfId="0" applyFont="1" applyFill="1" applyProtection="1">
      <protection locked="0"/>
    </xf>
    <xf numFmtId="0" fontId="22" fillId="3" borderId="0" xfId="0" applyFont="1" applyFill="1" applyProtection="1">
      <protection locked="0" hidden="1"/>
    </xf>
    <xf numFmtId="0" fontId="22" fillId="3" borderId="0" xfId="0" applyFont="1" applyFill="1" applyAlignment="1" applyProtection="1">
      <alignment horizontal="center"/>
      <protection locked="0" hidden="1"/>
    </xf>
    <xf numFmtId="0" fontId="13" fillId="0" borderId="0" xfId="0" applyFont="1" applyBorder="1" applyAlignment="1">
      <alignment horizontal="center" vertical="top"/>
    </xf>
    <xf numFmtId="0" fontId="15" fillId="0" borderId="0" xfId="0" applyFont="1" applyBorder="1" applyAlignment="1">
      <alignment horizontal="center" vertical="center"/>
    </xf>
    <xf numFmtId="0" fontId="20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Border="1" applyAlignment="1" applyProtection="1">
      <alignment horizontal="center"/>
      <protection locked="0"/>
    </xf>
    <xf numFmtId="0" fontId="19" fillId="3" borderId="0" xfId="0" applyFont="1" applyFill="1" applyAlignment="1" applyProtection="1">
      <alignment horizontal="left"/>
      <protection locked="0"/>
    </xf>
    <xf numFmtId="0" fontId="17" fillId="3" borderId="16" xfId="0" applyFont="1" applyFill="1" applyBorder="1" applyAlignment="1" applyProtection="1">
      <alignment horizontal="left"/>
      <protection locked="0"/>
    </xf>
    <xf numFmtId="0" fontId="1" fillId="4" borderId="2" xfId="0" applyFont="1" applyFill="1" applyBorder="1" applyAlignment="1" applyProtection="1">
      <alignment horizontal="center"/>
      <protection locked="0"/>
    </xf>
    <xf numFmtId="0" fontId="1" fillId="4" borderId="3" xfId="0" applyFont="1" applyFill="1" applyBorder="1" applyAlignment="1" applyProtection="1">
      <alignment horizontal="center"/>
      <protection locked="0"/>
    </xf>
    <xf numFmtId="0" fontId="1" fillId="4" borderId="4" xfId="0" applyFont="1" applyFill="1" applyBorder="1" applyAlignment="1" applyProtection="1">
      <alignment horizontal="center"/>
      <protection locked="0"/>
    </xf>
    <xf numFmtId="0" fontId="1" fillId="4" borderId="2" xfId="0" applyFont="1" applyFill="1" applyBorder="1" applyAlignment="1" applyProtection="1">
      <alignment horizontal="center" wrapText="1"/>
      <protection locked="0"/>
    </xf>
    <xf numFmtId="0" fontId="1" fillId="4" borderId="3" xfId="0" applyFont="1" applyFill="1" applyBorder="1" applyAlignment="1" applyProtection="1">
      <alignment horizontal="center" wrapText="1"/>
      <protection locked="0"/>
    </xf>
    <xf numFmtId="0" fontId="1" fillId="4" borderId="4" xfId="0" applyFont="1" applyFill="1" applyBorder="1" applyAlignment="1" applyProtection="1">
      <alignment horizontal="center" wrapText="1"/>
      <protection locked="0"/>
    </xf>
    <xf numFmtId="0" fontId="5" fillId="0" borderId="14" xfId="0" applyFont="1" applyBorder="1" applyAlignment="1" applyProtection="1">
      <alignment horizontal="center" vertical="center" wrapText="1"/>
      <protection locked="0"/>
    </xf>
    <xf numFmtId="0" fontId="5" fillId="0" borderId="10" xfId="0" applyFont="1" applyBorder="1" applyAlignment="1" applyProtection="1">
      <alignment horizontal="center" vertical="center" wrapText="1"/>
      <protection locked="0"/>
    </xf>
    <xf numFmtId="0" fontId="5" fillId="0" borderId="15" xfId="0" applyFont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 applyProtection="1">
      <alignment horizontal="center" vertical="center" wrapText="1"/>
      <protection locked="0"/>
    </xf>
    <xf numFmtId="0" fontId="4" fillId="0" borderId="14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4" fillId="0" borderId="15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center" vertical="center" wrapText="1"/>
      <protection hidden="1"/>
    </xf>
    <xf numFmtId="0" fontId="8" fillId="0" borderId="5" xfId="0" applyFont="1" applyBorder="1" applyAlignment="1" applyProtection="1">
      <alignment horizontal="center" vertical="center" wrapText="1"/>
      <protection hidden="1"/>
    </xf>
    <xf numFmtId="0" fontId="8" fillId="0" borderId="1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 vertical="center" wrapText="1"/>
      <protection hidden="1"/>
    </xf>
    <xf numFmtId="0" fontId="8" fillId="0" borderId="0" xfId="0" applyFont="1" applyAlignment="1" applyProtection="1">
      <alignment horizontal="center" vertical="center" wrapText="1"/>
    </xf>
    <xf numFmtId="0" fontId="8" fillId="0" borderId="0" xfId="0" applyFont="1" applyBorder="1" applyAlignment="1" applyProtection="1">
      <alignment horizontal="center" vertical="center" wrapText="1"/>
    </xf>
    <xf numFmtId="0" fontId="8" fillId="0" borderId="5" xfId="0" applyFont="1" applyBorder="1" applyAlignment="1" applyProtection="1">
      <alignment horizontal="center" vertical="center" wrapText="1"/>
    </xf>
    <xf numFmtId="0" fontId="7" fillId="0" borderId="11" xfId="0" applyFont="1" applyBorder="1" applyAlignment="1" applyProtection="1">
      <alignment horizontal="center" vertical="center" wrapText="1"/>
    </xf>
    <xf numFmtId="0" fontId="6" fillId="0" borderId="14" xfId="0" applyFont="1" applyBorder="1" applyAlignment="1" applyProtection="1">
      <alignment horizontal="center" vertical="center"/>
      <protection locked="0"/>
    </xf>
    <xf numFmtId="0" fontId="6" fillId="0" borderId="9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wrapText="1"/>
      <protection locked="0"/>
    </xf>
    <xf numFmtId="0" fontId="3" fillId="0" borderId="10" xfId="0" applyFont="1" applyBorder="1" applyAlignment="1" applyProtection="1">
      <alignment horizontal="center" wrapText="1"/>
      <protection locked="0"/>
    </xf>
    <xf numFmtId="0" fontId="3" fillId="0" borderId="7" xfId="0" applyFont="1" applyBorder="1" applyAlignment="1" applyProtection="1">
      <alignment horizontal="center" wrapText="1"/>
      <protection locked="0"/>
    </xf>
    <xf numFmtId="0" fontId="3" fillId="0" borderId="8" xfId="0" applyFont="1" applyBorder="1" applyAlignment="1" applyProtection="1">
      <alignment horizontal="center" wrapText="1"/>
      <protection locked="0"/>
    </xf>
    <xf numFmtId="0" fontId="9" fillId="0" borderId="0" xfId="0" applyFont="1" applyAlignment="1" applyProtection="1">
      <alignment horizontal="center" vertical="top"/>
      <protection locked="0"/>
    </xf>
    <xf numFmtId="0" fontId="7" fillId="0" borderId="13" xfId="0" applyFont="1" applyBorder="1" applyAlignment="1" applyProtection="1">
      <alignment horizontal="center" vertical="center" wrapText="1"/>
    </xf>
    <xf numFmtId="0" fontId="8" fillId="0" borderId="6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</cellXfs>
  <cellStyles count="2">
    <cellStyle name="Normal" xfId="0" builtinId="0"/>
    <cellStyle name="Porcentaje" xfId="1" builtinId="5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G$118" lockText="1" noThreeD="1"/>
</file>

<file path=xl/ctrlProps/ctrlProp2.xml><?xml version="1.0" encoding="utf-8"?>
<formControlPr xmlns="http://schemas.microsoft.com/office/spreadsheetml/2009/9/main" objectType="CheckBox" fmlaLink="$G$119" lockText="1" noThreeD="1"/>
</file>

<file path=xl/ctrlProps/ctrlProp3.xml><?xml version="1.0" encoding="utf-8"?>
<formControlPr xmlns="http://schemas.microsoft.com/office/spreadsheetml/2009/9/main" objectType="CheckBox" fmlaLink="$G$120" lockText="1" noThreeD="1"/>
</file>

<file path=xl/ctrlProps/ctrlProp4.xml><?xml version="1.0" encoding="utf-8"?>
<formControlPr xmlns="http://schemas.microsoft.com/office/spreadsheetml/2009/9/main" objectType="CheckBox" fmlaLink="$G$122" lockText="1" noThreeD="1"/>
</file>

<file path=xl/ctrlProps/ctrlProp5.xml><?xml version="1.0" encoding="utf-8"?>
<formControlPr xmlns="http://schemas.microsoft.com/office/spreadsheetml/2009/9/main" objectType="CheckBox" fmlaLink="$G$123" lockText="1" noThreeD="1"/>
</file>

<file path=xl/ctrlProps/ctrlProp6.xml><?xml version="1.0" encoding="utf-8"?>
<formControlPr xmlns="http://schemas.microsoft.com/office/spreadsheetml/2009/9/main" objectType="CheckBox" fmlaLink="$G$124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fmlaLink="$G$14" lockText="1" noThreeD="1"/>
</file>

<file path=xl/ctrlProps/ctrlProp11.xml><?xml version="1.0" encoding="utf-8"?>
<formControlPr xmlns="http://schemas.microsoft.com/office/spreadsheetml/2009/9/main" objectType="CheckBox" fmlaLink="$G$15" lockText="1" noThreeD="1"/>
</file>

<file path=xl/ctrlProps/ctrlProp12.xml><?xml version="1.0" encoding="utf-8"?>
<formControlPr xmlns="http://schemas.microsoft.com/office/spreadsheetml/2009/9/main" objectType="CheckBox" fmlaLink="$G$16" noThreeD="1"/>
</file>

<file path=xl/ctrlProps/ctrlProp13.xml><?xml version="1.0" encoding="utf-8"?>
<formControlPr xmlns="http://schemas.microsoft.com/office/spreadsheetml/2009/9/main" objectType="CheckBox" fmlaLink="$G$18" lockText="1" noThreeD="1"/>
</file>

<file path=xl/ctrlProps/ctrlProp14.xml><?xml version="1.0" encoding="utf-8"?>
<formControlPr xmlns="http://schemas.microsoft.com/office/spreadsheetml/2009/9/main" objectType="CheckBox" fmlaLink="$G$19" lockText="1" noThreeD="1"/>
</file>

<file path=xl/ctrlProps/ctrlProp15.xml><?xml version="1.0" encoding="utf-8"?>
<formControlPr xmlns="http://schemas.microsoft.com/office/spreadsheetml/2009/9/main" objectType="CheckBox" fmlaLink="$G$20" lockText="1" noThreeD="1"/>
</file>

<file path=xl/ctrlProps/ctrlProp16.xml><?xml version="1.0" encoding="utf-8"?>
<formControlPr xmlns="http://schemas.microsoft.com/office/spreadsheetml/2009/9/main" objectType="CheckBox" fmlaLink="$G$22" lockText="1" noThreeD="1"/>
</file>

<file path=xl/ctrlProps/ctrlProp17.xml><?xml version="1.0" encoding="utf-8"?>
<formControlPr xmlns="http://schemas.microsoft.com/office/spreadsheetml/2009/9/main" objectType="CheckBox" fmlaLink="$G$23" lockText="1" noThreeD="1"/>
</file>

<file path=xl/ctrlProps/ctrlProp18.xml><?xml version="1.0" encoding="utf-8"?>
<formControlPr xmlns="http://schemas.microsoft.com/office/spreadsheetml/2009/9/main" objectType="CheckBox" fmlaLink="$G$24" lockText="1" noThreeD="1"/>
</file>

<file path=xl/ctrlProps/ctrlProp19.xml><?xml version="1.0" encoding="utf-8"?>
<formControlPr xmlns="http://schemas.microsoft.com/office/spreadsheetml/2009/9/main" objectType="CheckBox" fmlaLink="$G$26" lockText="1" noThreeD="1"/>
</file>

<file path=xl/ctrlProps/ctrlProp20.xml><?xml version="1.0" encoding="utf-8"?>
<formControlPr xmlns="http://schemas.microsoft.com/office/spreadsheetml/2009/9/main" objectType="CheckBox" fmlaLink="$G$27" lockText="1" noThreeD="1"/>
</file>

<file path=xl/ctrlProps/ctrlProp21.xml><?xml version="1.0" encoding="utf-8"?>
<formControlPr xmlns="http://schemas.microsoft.com/office/spreadsheetml/2009/9/main" objectType="CheckBox" fmlaLink="$G$28" lockText="1" noThreeD="1"/>
</file>

<file path=xl/ctrlProps/ctrlProp22.xml><?xml version="1.0" encoding="utf-8"?>
<formControlPr xmlns="http://schemas.microsoft.com/office/spreadsheetml/2009/9/main" objectType="CheckBox" fmlaLink="$G$30" lockText="1" noThreeD="1"/>
</file>

<file path=xl/ctrlProps/ctrlProp23.xml><?xml version="1.0" encoding="utf-8"?>
<formControlPr xmlns="http://schemas.microsoft.com/office/spreadsheetml/2009/9/main" objectType="CheckBox" fmlaLink="$G$31" lockText="1" noThreeD="1"/>
</file>

<file path=xl/ctrlProps/ctrlProp24.xml><?xml version="1.0" encoding="utf-8"?>
<formControlPr xmlns="http://schemas.microsoft.com/office/spreadsheetml/2009/9/main" objectType="CheckBox" fmlaLink="$G$32" lockText="1" noThreeD="1"/>
</file>

<file path=xl/ctrlProps/ctrlProp25.xml><?xml version="1.0" encoding="utf-8"?>
<formControlPr xmlns="http://schemas.microsoft.com/office/spreadsheetml/2009/9/main" objectType="CheckBox" fmlaLink="$G$34" lockText="1" noThreeD="1"/>
</file>

<file path=xl/ctrlProps/ctrlProp26.xml><?xml version="1.0" encoding="utf-8"?>
<formControlPr xmlns="http://schemas.microsoft.com/office/spreadsheetml/2009/9/main" objectType="CheckBox" fmlaLink="$G$35" lockText="1" noThreeD="1"/>
</file>

<file path=xl/ctrlProps/ctrlProp27.xml><?xml version="1.0" encoding="utf-8"?>
<formControlPr xmlns="http://schemas.microsoft.com/office/spreadsheetml/2009/9/main" objectType="CheckBox" fmlaLink="$G$36" lockText="1" noThreeD="1"/>
</file>

<file path=xl/ctrlProps/ctrlProp28.xml><?xml version="1.0" encoding="utf-8"?>
<formControlPr xmlns="http://schemas.microsoft.com/office/spreadsheetml/2009/9/main" objectType="CheckBox" fmlaLink="$G$38" lockText="1" noThreeD="1"/>
</file>

<file path=xl/ctrlProps/ctrlProp29.xml><?xml version="1.0" encoding="utf-8"?>
<formControlPr xmlns="http://schemas.microsoft.com/office/spreadsheetml/2009/9/main" objectType="CheckBox" fmlaLink="$G$39" lockText="1" noThreeD="1"/>
</file>

<file path=xl/ctrlProps/ctrlProp30.xml><?xml version="1.0" encoding="utf-8"?>
<formControlPr xmlns="http://schemas.microsoft.com/office/spreadsheetml/2009/9/main" objectType="CheckBox" fmlaLink="$G$40" lockText="1" noThreeD="1"/>
</file>

<file path=xl/ctrlProps/ctrlProp31.xml><?xml version="1.0" encoding="utf-8"?>
<formControlPr xmlns="http://schemas.microsoft.com/office/spreadsheetml/2009/9/main" objectType="CheckBox" fmlaLink="$G$42" lockText="1" noThreeD="1"/>
</file>

<file path=xl/ctrlProps/ctrlProp32.xml><?xml version="1.0" encoding="utf-8"?>
<formControlPr xmlns="http://schemas.microsoft.com/office/spreadsheetml/2009/9/main" objectType="CheckBox" fmlaLink="$G$43" lockText="1" noThreeD="1"/>
</file>

<file path=xl/ctrlProps/ctrlProp33.xml><?xml version="1.0" encoding="utf-8"?>
<formControlPr xmlns="http://schemas.microsoft.com/office/spreadsheetml/2009/9/main" objectType="CheckBox" fmlaLink="$G$44" lockText="1" noThreeD="1"/>
</file>

<file path=xl/ctrlProps/ctrlProp34.xml><?xml version="1.0" encoding="utf-8"?>
<formControlPr xmlns="http://schemas.microsoft.com/office/spreadsheetml/2009/9/main" objectType="CheckBox" fmlaLink="$G$46" lockText="1" noThreeD="1"/>
</file>

<file path=xl/ctrlProps/ctrlProp35.xml><?xml version="1.0" encoding="utf-8"?>
<formControlPr xmlns="http://schemas.microsoft.com/office/spreadsheetml/2009/9/main" objectType="CheckBox" fmlaLink="$G$47" lockText="1" noThreeD="1"/>
</file>

<file path=xl/ctrlProps/ctrlProp36.xml><?xml version="1.0" encoding="utf-8"?>
<formControlPr xmlns="http://schemas.microsoft.com/office/spreadsheetml/2009/9/main" objectType="CheckBox" fmlaLink="$G$48" lockText="1" noThreeD="1"/>
</file>

<file path=xl/ctrlProps/ctrlProp37.xml><?xml version="1.0" encoding="utf-8"?>
<formControlPr xmlns="http://schemas.microsoft.com/office/spreadsheetml/2009/9/main" objectType="CheckBox" fmlaLink="$G$50" lockText="1" noThreeD="1"/>
</file>

<file path=xl/ctrlProps/ctrlProp38.xml><?xml version="1.0" encoding="utf-8"?>
<formControlPr xmlns="http://schemas.microsoft.com/office/spreadsheetml/2009/9/main" objectType="CheckBox" fmlaLink="$G$51" lockText="1" noThreeD="1"/>
</file>

<file path=xl/ctrlProps/ctrlProp39.xml><?xml version="1.0" encoding="utf-8"?>
<formControlPr xmlns="http://schemas.microsoft.com/office/spreadsheetml/2009/9/main" objectType="CheckBox" fmlaLink="$G$52" lockText="1" noThreeD="1"/>
</file>

<file path=xl/ctrlProps/ctrlProp40.xml><?xml version="1.0" encoding="utf-8"?>
<formControlPr xmlns="http://schemas.microsoft.com/office/spreadsheetml/2009/9/main" objectType="CheckBox" fmlaLink="$G$54" lockText="1" noThreeD="1"/>
</file>

<file path=xl/ctrlProps/ctrlProp41.xml><?xml version="1.0" encoding="utf-8"?>
<formControlPr xmlns="http://schemas.microsoft.com/office/spreadsheetml/2009/9/main" objectType="CheckBox" fmlaLink="$G$55" lockText="1" noThreeD="1"/>
</file>

<file path=xl/ctrlProps/ctrlProp42.xml><?xml version="1.0" encoding="utf-8"?>
<formControlPr xmlns="http://schemas.microsoft.com/office/spreadsheetml/2009/9/main" objectType="CheckBox" fmlaLink="$G$56" lockText="1" noThreeD="1"/>
</file>

<file path=xl/ctrlProps/ctrlProp43.xml><?xml version="1.0" encoding="utf-8"?>
<formControlPr xmlns="http://schemas.microsoft.com/office/spreadsheetml/2009/9/main" objectType="CheckBox" fmlaLink="$G$58" lockText="1" noThreeD="1"/>
</file>

<file path=xl/ctrlProps/ctrlProp44.xml><?xml version="1.0" encoding="utf-8"?>
<formControlPr xmlns="http://schemas.microsoft.com/office/spreadsheetml/2009/9/main" objectType="CheckBox" fmlaLink="$G$59" lockText="1" noThreeD="1"/>
</file>

<file path=xl/ctrlProps/ctrlProp45.xml><?xml version="1.0" encoding="utf-8"?>
<formControlPr xmlns="http://schemas.microsoft.com/office/spreadsheetml/2009/9/main" objectType="CheckBox" fmlaLink="$G$60" lockText="1" noThreeD="1"/>
</file>

<file path=xl/ctrlProps/ctrlProp46.xml><?xml version="1.0" encoding="utf-8"?>
<formControlPr xmlns="http://schemas.microsoft.com/office/spreadsheetml/2009/9/main" objectType="CheckBox" fmlaLink="$G$62" lockText="1" noThreeD="1"/>
</file>

<file path=xl/ctrlProps/ctrlProp47.xml><?xml version="1.0" encoding="utf-8"?>
<formControlPr xmlns="http://schemas.microsoft.com/office/spreadsheetml/2009/9/main" objectType="CheckBox" fmlaLink="$G$63" lockText="1" noThreeD="1"/>
</file>

<file path=xl/ctrlProps/ctrlProp48.xml><?xml version="1.0" encoding="utf-8"?>
<formControlPr xmlns="http://schemas.microsoft.com/office/spreadsheetml/2009/9/main" objectType="CheckBox" fmlaLink="$G$64" lockText="1" noThreeD="1"/>
</file>

<file path=xl/ctrlProps/ctrlProp49.xml><?xml version="1.0" encoding="utf-8"?>
<formControlPr xmlns="http://schemas.microsoft.com/office/spreadsheetml/2009/9/main" objectType="CheckBox" fmlaLink="$G$66" lockText="1" noThreeD="1"/>
</file>

<file path=xl/ctrlProps/ctrlProp50.xml><?xml version="1.0" encoding="utf-8"?>
<formControlPr xmlns="http://schemas.microsoft.com/office/spreadsheetml/2009/9/main" objectType="CheckBox" fmlaLink="$G$67" lockText="1" noThreeD="1"/>
</file>

<file path=xl/ctrlProps/ctrlProp51.xml><?xml version="1.0" encoding="utf-8"?>
<formControlPr xmlns="http://schemas.microsoft.com/office/spreadsheetml/2009/9/main" objectType="CheckBox" fmlaLink="$G$68" lockText="1" noThreeD="1"/>
</file>

<file path=xl/ctrlProps/ctrlProp52.xml><?xml version="1.0" encoding="utf-8"?>
<formControlPr xmlns="http://schemas.microsoft.com/office/spreadsheetml/2009/9/main" objectType="CheckBox" fmlaLink="$G$70" lockText="1" noThreeD="1"/>
</file>

<file path=xl/ctrlProps/ctrlProp53.xml><?xml version="1.0" encoding="utf-8"?>
<formControlPr xmlns="http://schemas.microsoft.com/office/spreadsheetml/2009/9/main" objectType="CheckBox" fmlaLink="$G$71" lockText="1" noThreeD="1"/>
</file>

<file path=xl/ctrlProps/ctrlProp54.xml><?xml version="1.0" encoding="utf-8"?>
<formControlPr xmlns="http://schemas.microsoft.com/office/spreadsheetml/2009/9/main" objectType="CheckBox" fmlaLink="$G$72" lockText="1" noThreeD="1"/>
</file>

<file path=xl/ctrlProps/ctrlProp55.xml><?xml version="1.0" encoding="utf-8"?>
<formControlPr xmlns="http://schemas.microsoft.com/office/spreadsheetml/2009/9/main" objectType="CheckBox" fmlaLink="$G$74" lockText="1" noThreeD="1"/>
</file>

<file path=xl/ctrlProps/ctrlProp56.xml><?xml version="1.0" encoding="utf-8"?>
<formControlPr xmlns="http://schemas.microsoft.com/office/spreadsheetml/2009/9/main" objectType="CheckBox" fmlaLink="$G$75" lockText="1" noThreeD="1"/>
</file>

<file path=xl/ctrlProps/ctrlProp57.xml><?xml version="1.0" encoding="utf-8"?>
<formControlPr xmlns="http://schemas.microsoft.com/office/spreadsheetml/2009/9/main" objectType="CheckBox" fmlaLink="$G$76" lockText="1" noThreeD="1"/>
</file>

<file path=xl/ctrlProps/ctrlProp58.xml><?xml version="1.0" encoding="utf-8"?>
<formControlPr xmlns="http://schemas.microsoft.com/office/spreadsheetml/2009/9/main" objectType="CheckBox" fmlaLink="$G$78" lockText="1" noThreeD="1"/>
</file>

<file path=xl/ctrlProps/ctrlProp59.xml><?xml version="1.0" encoding="utf-8"?>
<formControlPr xmlns="http://schemas.microsoft.com/office/spreadsheetml/2009/9/main" objectType="CheckBox" fmlaLink="$G$79" lockText="1" noThreeD="1"/>
</file>

<file path=xl/ctrlProps/ctrlProp60.xml><?xml version="1.0" encoding="utf-8"?>
<formControlPr xmlns="http://schemas.microsoft.com/office/spreadsheetml/2009/9/main" objectType="CheckBox" fmlaLink="$G$80" lockText="1" noThreeD="1"/>
</file>

<file path=xl/ctrlProps/ctrlProp61.xml><?xml version="1.0" encoding="utf-8"?>
<formControlPr xmlns="http://schemas.microsoft.com/office/spreadsheetml/2009/9/main" objectType="CheckBox" fmlaLink="$G$82" lockText="1" noThreeD="1"/>
</file>

<file path=xl/ctrlProps/ctrlProp62.xml><?xml version="1.0" encoding="utf-8"?>
<formControlPr xmlns="http://schemas.microsoft.com/office/spreadsheetml/2009/9/main" objectType="CheckBox" fmlaLink="$G$83" lockText="1" noThreeD="1"/>
</file>

<file path=xl/ctrlProps/ctrlProp63.xml><?xml version="1.0" encoding="utf-8"?>
<formControlPr xmlns="http://schemas.microsoft.com/office/spreadsheetml/2009/9/main" objectType="CheckBox" fmlaLink="$G$84" lockText="1" noThreeD="1"/>
</file>

<file path=xl/ctrlProps/ctrlProp64.xml><?xml version="1.0" encoding="utf-8"?>
<formControlPr xmlns="http://schemas.microsoft.com/office/spreadsheetml/2009/9/main" objectType="CheckBox" fmlaLink="$G$86" lockText="1" noThreeD="1"/>
</file>

<file path=xl/ctrlProps/ctrlProp65.xml><?xml version="1.0" encoding="utf-8"?>
<formControlPr xmlns="http://schemas.microsoft.com/office/spreadsheetml/2009/9/main" objectType="CheckBox" fmlaLink="$G$87" lockText="1" noThreeD="1"/>
</file>

<file path=xl/ctrlProps/ctrlProp66.xml><?xml version="1.0" encoding="utf-8"?>
<formControlPr xmlns="http://schemas.microsoft.com/office/spreadsheetml/2009/9/main" objectType="CheckBox" fmlaLink="$G$88" lockText="1" noThreeD="1"/>
</file>

<file path=xl/ctrlProps/ctrlProp67.xml><?xml version="1.0" encoding="utf-8"?>
<formControlPr xmlns="http://schemas.microsoft.com/office/spreadsheetml/2009/9/main" objectType="CheckBox" fmlaLink="$G$90" lockText="1" noThreeD="1"/>
</file>

<file path=xl/ctrlProps/ctrlProp68.xml><?xml version="1.0" encoding="utf-8"?>
<formControlPr xmlns="http://schemas.microsoft.com/office/spreadsheetml/2009/9/main" objectType="CheckBox" fmlaLink="$G$91" lockText="1" noThreeD="1"/>
</file>

<file path=xl/ctrlProps/ctrlProp69.xml><?xml version="1.0" encoding="utf-8"?>
<formControlPr xmlns="http://schemas.microsoft.com/office/spreadsheetml/2009/9/main" objectType="CheckBox" fmlaLink="$G$92" lockText="1" noThreeD="1"/>
</file>

<file path=xl/ctrlProps/ctrlProp70.xml><?xml version="1.0" encoding="utf-8"?>
<formControlPr xmlns="http://schemas.microsoft.com/office/spreadsheetml/2009/9/main" objectType="CheckBox" fmlaLink="$G$94" lockText="1" noThreeD="1"/>
</file>

<file path=xl/ctrlProps/ctrlProp71.xml><?xml version="1.0" encoding="utf-8"?>
<formControlPr xmlns="http://schemas.microsoft.com/office/spreadsheetml/2009/9/main" objectType="CheckBox" fmlaLink="$G$95" lockText="1" noThreeD="1"/>
</file>

<file path=xl/ctrlProps/ctrlProp72.xml><?xml version="1.0" encoding="utf-8"?>
<formControlPr xmlns="http://schemas.microsoft.com/office/spreadsheetml/2009/9/main" objectType="CheckBox" fmlaLink="$G$96" lockText="1" noThreeD="1"/>
</file>

<file path=xl/ctrlProps/ctrlProp73.xml><?xml version="1.0" encoding="utf-8"?>
<formControlPr xmlns="http://schemas.microsoft.com/office/spreadsheetml/2009/9/main" objectType="CheckBox" fmlaLink="$G$98" lockText="1" noThreeD="1"/>
</file>

<file path=xl/ctrlProps/ctrlProp74.xml><?xml version="1.0" encoding="utf-8"?>
<formControlPr xmlns="http://schemas.microsoft.com/office/spreadsheetml/2009/9/main" objectType="CheckBox" fmlaLink="$G$99" lockText="1" noThreeD="1"/>
</file>

<file path=xl/ctrlProps/ctrlProp75.xml><?xml version="1.0" encoding="utf-8"?>
<formControlPr xmlns="http://schemas.microsoft.com/office/spreadsheetml/2009/9/main" objectType="CheckBox" fmlaLink="$G$100" lockText="1" noThreeD="1"/>
</file>

<file path=xl/ctrlProps/ctrlProp76.xml><?xml version="1.0" encoding="utf-8"?>
<formControlPr xmlns="http://schemas.microsoft.com/office/spreadsheetml/2009/9/main" objectType="CheckBox" fmlaLink="$G$102" lockText="1" noThreeD="1"/>
</file>

<file path=xl/ctrlProps/ctrlProp77.xml><?xml version="1.0" encoding="utf-8"?>
<formControlPr xmlns="http://schemas.microsoft.com/office/spreadsheetml/2009/9/main" objectType="CheckBox" fmlaLink="$G$103" lockText="1" noThreeD="1"/>
</file>

<file path=xl/ctrlProps/ctrlProp78.xml><?xml version="1.0" encoding="utf-8"?>
<formControlPr xmlns="http://schemas.microsoft.com/office/spreadsheetml/2009/9/main" objectType="CheckBox" fmlaLink="$G$104" lockText="1" noThreeD="1"/>
</file>

<file path=xl/ctrlProps/ctrlProp79.xml><?xml version="1.0" encoding="utf-8"?>
<formControlPr xmlns="http://schemas.microsoft.com/office/spreadsheetml/2009/9/main" objectType="CheckBox" fmlaLink="$G$106" lockText="1" noThreeD="1"/>
</file>

<file path=xl/ctrlProps/ctrlProp80.xml><?xml version="1.0" encoding="utf-8"?>
<formControlPr xmlns="http://schemas.microsoft.com/office/spreadsheetml/2009/9/main" objectType="CheckBox" fmlaLink="$G$107" lockText="1" noThreeD="1"/>
</file>

<file path=xl/ctrlProps/ctrlProp81.xml><?xml version="1.0" encoding="utf-8"?>
<formControlPr xmlns="http://schemas.microsoft.com/office/spreadsheetml/2009/9/main" objectType="CheckBox" fmlaLink="$G$108" lockText="1" noThreeD="1"/>
</file>

<file path=xl/ctrlProps/ctrlProp82.xml><?xml version="1.0" encoding="utf-8"?>
<formControlPr xmlns="http://schemas.microsoft.com/office/spreadsheetml/2009/9/main" objectType="CheckBox" fmlaLink="$G$110" lockText="1" noThreeD="1"/>
</file>

<file path=xl/ctrlProps/ctrlProp83.xml><?xml version="1.0" encoding="utf-8"?>
<formControlPr xmlns="http://schemas.microsoft.com/office/spreadsheetml/2009/9/main" objectType="CheckBox" fmlaLink="$G$111" lockText="1" noThreeD="1"/>
</file>

<file path=xl/ctrlProps/ctrlProp84.xml><?xml version="1.0" encoding="utf-8"?>
<formControlPr xmlns="http://schemas.microsoft.com/office/spreadsheetml/2009/9/main" objectType="CheckBox" fmlaLink="$G$112" lockText="1" noThreeD="1"/>
</file>

<file path=xl/ctrlProps/ctrlProp85.xml><?xml version="1.0" encoding="utf-8"?>
<formControlPr xmlns="http://schemas.microsoft.com/office/spreadsheetml/2009/9/main" objectType="CheckBox" fmlaLink="$G$114" lockText="1" noThreeD="1"/>
</file>

<file path=xl/ctrlProps/ctrlProp86.xml><?xml version="1.0" encoding="utf-8"?>
<formControlPr xmlns="http://schemas.microsoft.com/office/spreadsheetml/2009/9/main" objectType="CheckBox" fmlaLink="$G$115" lockText="1" noThreeD="1"/>
</file>

<file path=xl/ctrlProps/ctrlProp87.xml><?xml version="1.0" encoding="utf-8"?>
<formControlPr xmlns="http://schemas.microsoft.com/office/spreadsheetml/2009/9/main" objectType="CheckBox" fmlaLink="$G$116" lockText="1" noThreeD="1"/>
</file>

<file path=xl/ctrlProps/ctrlProp88.xml><?xml version="1.0" encoding="utf-8"?>
<formControlPr xmlns="http://schemas.microsoft.com/office/spreadsheetml/2009/9/main" objectType="CheckBox" fmlaLink="$G$126" lockText="1" noThreeD="1"/>
</file>

<file path=xl/ctrlProps/ctrlProp89.xml><?xml version="1.0" encoding="utf-8"?>
<formControlPr xmlns="http://schemas.microsoft.com/office/spreadsheetml/2009/9/main" objectType="CheckBox" fmlaLink="$G$127" lockText="1" noThreeD="1"/>
</file>

<file path=xl/ctrlProps/ctrlProp90.xml><?xml version="1.0" encoding="utf-8"?>
<formControlPr xmlns="http://schemas.microsoft.com/office/spreadsheetml/2009/9/main" objectType="CheckBox" fmlaLink="$G$128" lockText="1" noThreeD="1"/>
</file>

<file path=xl/ctrlProps/ctrlProp91.xml><?xml version="1.0" encoding="utf-8"?>
<formControlPr xmlns="http://schemas.microsoft.com/office/spreadsheetml/2009/9/main" objectType="CheckBox" fmlaLink="$G$130" lockText="1" noThreeD="1"/>
</file>

<file path=xl/ctrlProps/ctrlProp92.xml><?xml version="1.0" encoding="utf-8"?>
<formControlPr xmlns="http://schemas.microsoft.com/office/spreadsheetml/2009/9/main" objectType="CheckBox" fmlaLink="$G$131" lockText="1" noThreeD="1"/>
</file>

<file path=xl/ctrlProps/ctrlProp93.xml><?xml version="1.0" encoding="utf-8"?>
<formControlPr xmlns="http://schemas.microsoft.com/office/spreadsheetml/2009/9/main" objectType="CheckBox" fmlaLink="$G$132" lockText="1" noThreeD="1"/>
</file>

<file path=xl/ctrlProps/ctrlProp94.xml><?xml version="1.0" encoding="utf-8"?>
<formControlPr xmlns="http://schemas.microsoft.com/office/spreadsheetml/2009/9/main" objectType="CheckBox" fmlaLink="$G$134" lockText="1" noThreeD="1"/>
</file>

<file path=xl/ctrlProps/ctrlProp95.xml><?xml version="1.0" encoding="utf-8"?>
<formControlPr xmlns="http://schemas.microsoft.com/office/spreadsheetml/2009/9/main" objectType="CheckBox" fmlaLink="$G$135" lockText="1" noThreeD="1"/>
</file>

<file path=xl/ctrlProps/ctrlProp96.xml><?xml version="1.0" encoding="utf-8"?>
<formControlPr xmlns="http://schemas.microsoft.com/office/spreadsheetml/2009/9/main" objectType="CheckBox" fmlaLink="$G$136" lockText="1" noThreeD="1"/>
</file>

<file path=xl/ctrlProps/ctrlProp97.xml><?xml version="1.0" encoding="utf-8"?>
<formControlPr xmlns="http://schemas.microsoft.com/office/spreadsheetml/2009/9/main" objectType="CheckBox" fmlaLink="$G$138" lockText="1" noThreeD="1"/>
</file>

<file path=xl/ctrlProps/ctrlProp98.xml><?xml version="1.0" encoding="utf-8"?>
<formControlPr xmlns="http://schemas.microsoft.com/office/spreadsheetml/2009/9/main" objectType="CheckBox" fmlaLink="$G$139" lockText="1" noThreeD="1"/>
</file>

<file path=xl/ctrlProps/ctrlProp99.xml><?xml version="1.0" encoding="utf-8"?>
<formControlPr xmlns="http://schemas.microsoft.com/office/spreadsheetml/2009/9/main" objectType="CheckBox" fmlaLink="$G$140" lockText="1" noThreeD="1"/>
</file>

<file path=xl/ctrlProps/ctrlProp100.xml><?xml version="1.0" encoding="utf-8"?>
<formControlPr xmlns="http://schemas.microsoft.com/office/spreadsheetml/2009/9/main" objectType="CheckBox" fmlaLink="$G$142" lockText="1" noThreeD="1"/>
</file>

<file path=xl/ctrlProps/ctrlProp101.xml><?xml version="1.0" encoding="utf-8"?>
<formControlPr xmlns="http://schemas.microsoft.com/office/spreadsheetml/2009/9/main" objectType="CheckBox" fmlaLink="$G$143" lockText="1" noThreeD="1"/>
</file>

<file path=xl/ctrlProps/ctrlProp102.xml><?xml version="1.0" encoding="utf-8"?>
<formControlPr xmlns="http://schemas.microsoft.com/office/spreadsheetml/2009/9/main" objectType="CheckBox" fmlaLink="$G$144" lockText="1" noThreeD="1"/>
</file>

<file path=xl/ctrlProps/ctrlProp103.xml><?xml version="1.0" encoding="utf-8"?>
<formControlPr xmlns="http://schemas.microsoft.com/office/spreadsheetml/2009/9/main" objectType="CheckBox" fmlaLink="$G$146" lockText="1" noThreeD="1"/>
</file>

<file path=xl/ctrlProps/ctrlProp104.xml><?xml version="1.0" encoding="utf-8"?>
<formControlPr xmlns="http://schemas.microsoft.com/office/spreadsheetml/2009/9/main" objectType="CheckBox" fmlaLink="$G$147" lockText="1" noThreeD="1"/>
</file>

<file path=xl/ctrlProps/ctrlProp105.xml><?xml version="1.0" encoding="utf-8"?>
<formControlPr xmlns="http://schemas.microsoft.com/office/spreadsheetml/2009/9/main" objectType="CheckBox" fmlaLink="$G$148" lockText="1" noThreeD="1"/>
</file>

<file path=xl/ctrlProps/ctrlProp106.xml><?xml version="1.0" encoding="utf-8"?>
<formControlPr xmlns="http://schemas.microsoft.com/office/spreadsheetml/2009/9/main" objectType="CheckBox" fmlaLink="$G$150" lockText="1" noThreeD="1"/>
</file>

<file path=xl/ctrlProps/ctrlProp107.xml><?xml version="1.0" encoding="utf-8"?>
<formControlPr xmlns="http://schemas.microsoft.com/office/spreadsheetml/2009/9/main" objectType="CheckBox" fmlaLink="$G$151" lockText="1" noThreeD="1"/>
</file>

<file path=xl/ctrlProps/ctrlProp108.xml><?xml version="1.0" encoding="utf-8"?>
<formControlPr xmlns="http://schemas.microsoft.com/office/spreadsheetml/2009/9/main" objectType="CheckBox" fmlaLink="$G$152" lockText="1" noThreeD="1"/>
</file>

<file path=xl/ctrlProps/ctrlProp109.xml><?xml version="1.0" encoding="utf-8"?>
<formControlPr xmlns="http://schemas.microsoft.com/office/spreadsheetml/2009/9/main" objectType="CheckBox" fmlaLink="$G$154" lockText="1" noThreeD="1"/>
</file>

<file path=xl/ctrlProps/ctrlProp110.xml><?xml version="1.0" encoding="utf-8"?>
<formControlPr xmlns="http://schemas.microsoft.com/office/spreadsheetml/2009/9/main" objectType="CheckBox" fmlaLink="$G$155" lockText="1" noThreeD="1"/>
</file>

<file path=xl/ctrlProps/ctrlProp111.xml><?xml version="1.0" encoding="utf-8"?>
<formControlPr xmlns="http://schemas.microsoft.com/office/spreadsheetml/2009/9/main" objectType="CheckBox" fmlaLink="$G$156" lockText="1" noThreeD="1"/>
</file>

<file path=xl/ctrlProps/ctrlProp112.xml><?xml version="1.0" encoding="utf-8"?>
<formControlPr xmlns="http://schemas.microsoft.com/office/spreadsheetml/2009/9/main" objectType="CheckBox" fmlaLink="$G$158" lockText="1" noThreeD="1"/>
</file>

<file path=xl/ctrlProps/ctrlProp113.xml><?xml version="1.0" encoding="utf-8"?>
<formControlPr xmlns="http://schemas.microsoft.com/office/spreadsheetml/2009/9/main" objectType="CheckBox" fmlaLink="$G$159" lockText="1" noThreeD="1"/>
</file>

<file path=xl/ctrlProps/ctrlProp114.xml><?xml version="1.0" encoding="utf-8"?>
<formControlPr xmlns="http://schemas.microsoft.com/office/spreadsheetml/2009/9/main" objectType="CheckBox" fmlaLink="$G$160" lockText="1" noThreeD="1"/>
</file>

<file path=xl/ctrlProps/ctrlProp115.xml><?xml version="1.0" encoding="utf-8"?>
<formControlPr xmlns="http://schemas.microsoft.com/office/spreadsheetml/2009/9/main" objectType="CheckBox" fmlaLink="$G$162" lockText="1" noThreeD="1"/>
</file>

<file path=xl/ctrlProps/ctrlProp116.xml><?xml version="1.0" encoding="utf-8"?>
<formControlPr xmlns="http://schemas.microsoft.com/office/spreadsheetml/2009/9/main" objectType="CheckBox" fmlaLink="$G$163" lockText="1" noThreeD="1"/>
</file>

<file path=xl/ctrlProps/ctrlProp117.xml><?xml version="1.0" encoding="utf-8"?>
<formControlPr xmlns="http://schemas.microsoft.com/office/spreadsheetml/2009/9/main" objectType="CheckBox" fmlaLink="$G$164" lockText="1" noThreeD="1"/>
</file>

<file path=xl/ctrlProps/ctrlProp118.xml><?xml version="1.0" encoding="utf-8"?>
<formControlPr xmlns="http://schemas.microsoft.com/office/spreadsheetml/2009/9/main" objectType="CheckBox" fmlaLink="$G$166" lockText="1" noThreeD="1"/>
</file>

<file path=xl/ctrlProps/ctrlProp119.xml><?xml version="1.0" encoding="utf-8"?>
<formControlPr xmlns="http://schemas.microsoft.com/office/spreadsheetml/2009/9/main" objectType="CheckBox" fmlaLink="$G$167" lockText="1" noThreeD="1"/>
</file>

<file path=xl/ctrlProps/ctrlProp120.xml><?xml version="1.0" encoding="utf-8"?>
<formControlPr xmlns="http://schemas.microsoft.com/office/spreadsheetml/2009/9/main" objectType="CheckBox" fmlaLink="$G$168" lockText="1" noThreeD="1"/>
</file>

<file path=xl/ctrlProps/ctrlProp121.xml><?xml version="1.0" encoding="utf-8"?>
<formControlPr xmlns="http://schemas.microsoft.com/office/spreadsheetml/2009/9/main" objectType="CheckBox" fmlaLink="$G$170" lockText="1" noThreeD="1"/>
</file>

<file path=xl/ctrlProps/ctrlProp122.xml><?xml version="1.0" encoding="utf-8"?>
<formControlPr xmlns="http://schemas.microsoft.com/office/spreadsheetml/2009/9/main" objectType="CheckBox" fmlaLink="$G$171" lockText="1" noThreeD="1"/>
</file>

<file path=xl/ctrlProps/ctrlProp123.xml><?xml version="1.0" encoding="utf-8"?>
<formControlPr xmlns="http://schemas.microsoft.com/office/spreadsheetml/2009/9/main" objectType="CheckBox" fmlaLink="$G$172" lockText="1" noThreeD="1"/>
</file>

<file path=xl/ctrlProps/ctrlProp124.xml><?xml version="1.0" encoding="utf-8"?>
<formControlPr xmlns="http://schemas.microsoft.com/office/spreadsheetml/2009/9/main" objectType="CheckBox" fmlaLink="$G$174" lockText="1" noThreeD="1"/>
</file>

<file path=xl/ctrlProps/ctrlProp125.xml><?xml version="1.0" encoding="utf-8"?>
<formControlPr xmlns="http://schemas.microsoft.com/office/spreadsheetml/2009/9/main" objectType="CheckBox" fmlaLink="$G$175" lockText="1" noThreeD="1"/>
</file>

<file path=xl/ctrlProps/ctrlProp126.xml><?xml version="1.0" encoding="utf-8"?>
<formControlPr xmlns="http://schemas.microsoft.com/office/spreadsheetml/2009/9/main" objectType="CheckBox" fmlaLink="$G$176" lockText="1" noThreeD="1"/>
</file>

<file path=xl/ctrlProps/ctrlProp127.xml><?xml version="1.0" encoding="utf-8"?>
<formControlPr xmlns="http://schemas.microsoft.com/office/spreadsheetml/2009/9/main" objectType="CheckBox" fmlaLink="$G$182" lockText="1" noThreeD="1"/>
</file>

<file path=xl/ctrlProps/ctrlProp128.xml><?xml version="1.0" encoding="utf-8"?>
<formControlPr xmlns="http://schemas.microsoft.com/office/spreadsheetml/2009/9/main" objectType="CheckBox" fmlaLink="$G$183" lockText="1" noThreeD="1"/>
</file>

<file path=xl/ctrlProps/ctrlProp129.xml><?xml version="1.0" encoding="utf-8"?>
<formControlPr xmlns="http://schemas.microsoft.com/office/spreadsheetml/2009/9/main" objectType="CheckBox" fmlaLink="$G$184" lockText="1" noThreeD="1"/>
</file>

<file path=xl/ctrlProps/ctrlProp130.xml><?xml version="1.0" encoding="utf-8"?>
<formControlPr xmlns="http://schemas.microsoft.com/office/spreadsheetml/2009/9/main" objectType="CheckBox" fmlaLink="$G$186" lockText="1" noThreeD="1"/>
</file>

<file path=xl/ctrlProps/ctrlProp131.xml><?xml version="1.0" encoding="utf-8"?>
<formControlPr xmlns="http://schemas.microsoft.com/office/spreadsheetml/2009/9/main" objectType="CheckBox" fmlaLink="$G$187" lockText="1" noThreeD="1"/>
</file>

<file path=xl/ctrlProps/ctrlProp132.xml><?xml version="1.0" encoding="utf-8"?>
<formControlPr xmlns="http://schemas.microsoft.com/office/spreadsheetml/2009/9/main" objectType="CheckBox" fmlaLink="$G$188" lockText="1" noThreeD="1"/>
</file>

<file path=xl/ctrlProps/ctrlProp133.xml><?xml version="1.0" encoding="utf-8"?>
<formControlPr xmlns="http://schemas.microsoft.com/office/spreadsheetml/2009/9/main" objectType="CheckBox" fmlaLink="$G$190" lockText="1" noThreeD="1"/>
</file>

<file path=xl/ctrlProps/ctrlProp134.xml><?xml version="1.0" encoding="utf-8"?>
<formControlPr xmlns="http://schemas.microsoft.com/office/spreadsheetml/2009/9/main" objectType="CheckBox" fmlaLink="$G$191" lockText="1" noThreeD="1"/>
</file>

<file path=xl/ctrlProps/ctrlProp135.xml><?xml version="1.0" encoding="utf-8"?>
<formControlPr xmlns="http://schemas.microsoft.com/office/spreadsheetml/2009/9/main" objectType="CheckBox" fmlaLink="$G$192" lockText="1" noThreeD="1"/>
</file>

<file path=xl/ctrlProps/ctrlProp136.xml><?xml version="1.0" encoding="utf-8"?>
<formControlPr xmlns="http://schemas.microsoft.com/office/spreadsheetml/2009/9/main" objectType="CheckBox" fmlaLink="$G$194" lockText="1" noThreeD="1"/>
</file>

<file path=xl/ctrlProps/ctrlProp137.xml><?xml version="1.0" encoding="utf-8"?>
<formControlPr xmlns="http://schemas.microsoft.com/office/spreadsheetml/2009/9/main" objectType="CheckBox" fmlaLink="$G$195" lockText="1" noThreeD="1"/>
</file>

<file path=xl/ctrlProps/ctrlProp138.xml><?xml version="1.0" encoding="utf-8"?>
<formControlPr xmlns="http://schemas.microsoft.com/office/spreadsheetml/2009/9/main" objectType="CheckBox" fmlaLink="$G$196" lockText="1" noThreeD="1"/>
</file>

<file path=xl/ctrlProps/ctrlProp139.xml><?xml version="1.0" encoding="utf-8"?>
<formControlPr xmlns="http://schemas.microsoft.com/office/spreadsheetml/2009/9/main" objectType="CheckBox" fmlaLink="$G$198" lockText="1" noThreeD="1"/>
</file>

<file path=xl/ctrlProps/ctrlProp140.xml><?xml version="1.0" encoding="utf-8"?>
<formControlPr xmlns="http://schemas.microsoft.com/office/spreadsheetml/2009/9/main" objectType="CheckBox" fmlaLink="$G$199" lockText="1" noThreeD="1"/>
</file>

<file path=xl/ctrlProps/ctrlProp141.xml><?xml version="1.0" encoding="utf-8"?>
<formControlPr xmlns="http://schemas.microsoft.com/office/spreadsheetml/2009/9/main" objectType="CheckBox" fmlaLink="$G$200" lockText="1" noThreeD="1"/>
</file>

<file path=xl/ctrlProps/ctrlProp142.xml><?xml version="1.0" encoding="utf-8"?>
<formControlPr xmlns="http://schemas.microsoft.com/office/spreadsheetml/2009/9/main" objectType="CheckBox" fmlaLink="$G$202" lockText="1" noThreeD="1"/>
</file>

<file path=xl/ctrlProps/ctrlProp143.xml><?xml version="1.0" encoding="utf-8"?>
<formControlPr xmlns="http://schemas.microsoft.com/office/spreadsheetml/2009/9/main" objectType="CheckBox" fmlaLink="$G$203" lockText="1" noThreeD="1"/>
</file>

<file path=xl/ctrlProps/ctrlProp144.xml><?xml version="1.0" encoding="utf-8"?>
<formControlPr xmlns="http://schemas.microsoft.com/office/spreadsheetml/2009/9/main" objectType="CheckBox" fmlaLink="$G$204" lockText="1" noThreeD="1"/>
</file>

<file path=xl/ctrlProps/ctrlProp145.xml><?xml version="1.0" encoding="utf-8"?>
<formControlPr xmlns="http://schemas.microsoft.com/office/spreadsheetml/2009/9/main" objectType="CheckBox" fmlaLink="$G$206" lockText="1" noThreeD="1"/>
</file>

<file path=xl/ctrlProps/ctrlProp146.xml><?xml version="1.0" encoding="utf-8"?>
<formControlPr xmlns="http://schemas.microsoft.com/office/spreadsheetml/2009/9/main" objectType="CheckBox" fmlaLink="$G$207" lockText="1" noThreeD="1"/>
</file>

<file path=xl/ctrlProps/ctrlProp147.xml><?xml version="1.0" encoding="utf-8"?>
<formControlPr xmlns="http://schemas.microsoft.com/office/spreadsheetml/2009/9/main" objectType="CheckBox" fmlaLink="$G$208" lockText="1" noThreeD="1"/>
</file>

<file path=xl/ctrlProps/ctrlProp148.xml><?xml version="1.0" encoding="utf-8"?>
<formControlPr xmlns="http://schemas.microsoft.com/office/spreadsheetml/2009/9/main" objectType="CheckBox" fmlaLink="$G$178" lockText="1" noThreeD="1"/>
</file>

<file path=xl/ctrlProps/ctrlProp149.xml><?xml version="1.0" encoding="utf-8"?>
<formControlPr xmlns="http://schemas.microsoft.com/office/spreadsheetml/2009/9/main" objectType="CheckBox" fmlaLink="$G$179" lockText="1" noThreeD="1"/>
</file>

<file path=xl/ctrlProps/ctrlProp150.xml><?xml version="1.0" encoding="utf-8"?>
<formControlPr xmlns="http://schemas.microsoft.com/office/spreadsheetml/2009/9/main" objectType="CheckBox" fmlaLink="$G$180" lockText="1" noThreeD="1"/>
</file>

<file path=xl/ctrlProps/ctrlProp151.xml><?xml version="1.0" encoding="utf-8"?>
<formControlPr xmlns="http://schemas.microsoft.com/office/spreadsheetml/2009/9/main" objectType="CheckBox" fmlaLink="$G$210" lockText="1" noThreeD="1"/>
</file>

<file path=xl/ctrlProps/ctrlProp152.xml><?xml version="1.0" encoding="utf-8"?>
<formControlPr xmlns="http://schemas.microsoft.com/office/spreadsheetml/2009/9/main" objectType="CheckBox" fmlaLink="$G$211" lockText="1" noThreeD="1"/>
</file>

<file path=xl/ctrlProps/ctrlProp153.xml><?xml version="1.0" encoding="utf-8"?>
<formControlPr xmlns="http://schemas.microsoft.com/office/spreadsheetml/2009/9/main" objectType="CheckBox" fmlaLink="$G$212" lockText="1" noThreeD="1"/>
</file>

<file path=xl/ctrlProps/ctrlProp154.xml><?xml version="1.0" encoding="utf-8"?>
<formControlPr xmlns="http://schemas.microsoft.com/office/spreadsheetml/2009/9/main" objectType="CheckBox" fmlaLink="$G$214" lockText="1" noThreeD="1"/>
</file>

<file path=xl/ctrlProps/ctrlProp155.xml><?xml version="1.0" encoding="utf-8"?>
<formControlPr xmlns="http://schemas.microsoft.com/office/spreadsheetml/2009/9/main" objectType="CheckBox" fmlaLink="$G$215" lockText="1" noThreeD="1"/>
</file>

<file path=xl/ctrlProps/ctrlProp156.xml><?xml version="1.0" encoding="utf-8"?>
<formControlPr xmlns="http://schemas.microsoft.com/office/spreadsheetml/2009/9/main" objectType="CheckBox" fmlaLink="$G$216" lockText="1" noThreeD="1"/>
</file>

<file path=xl/ctrlProps/ctrlProp157.xml><?xml version="1.0" encoding="utf-8"?>
<formControlPr xmlns="http://schemas.microsoft.com/office/spreadsheetml/2009/9/main" objectType="CheckBox" fmlaLink="$G$218" lockText="1" noThreeD="1"/>
</file>

<file path=xl/ctrlProps/ctrlProp158.xml><?xml version="1.0" encoding="utf-8"?>
<formControlPr xmlns="http://schemas.microsoft.com/office/spreadsheetml/2009/9/main" objectType="CheckBox" fmlaLink="$G$219" lockText="1" noThreeD="1"/>
</file>

<file path=xl/ctrlProps/ctrlProp159.xml><?xml version="1.0" encoding="utf-8"?>
<formControlPr xmlns="http://schemas.microsoft.com/office/spreadsheetml/2009/9/main" objectType="CheckBox" fmlaLink="$G$220" lockText="1" noThreeD="1"/>
</file>

<file path=xl/ctrlProps/ctrlProp160.xml><?xml version="1.0" encoding="utf-8"?>
<formControlPr xmlns="http://schemas.microsoft.com/office/spreadsheetml/2009/9/main" objectType="CheckBox" fmlaLink="$G$222" lockText="1" noThreeD="1"/>
</file>

<file path=xl/ctrlProps/ctrlProp161.xml><?xml version="1.0" encoding="utf-8"?>
<formControlPr xmlns="http://schemas.microsoft.com/office/spreadsheetml/2009/9/main" objectType="CheckBox" fmlaLink="$G$223" lockText="1" noThreeD="1"/>
</file>

<file path=xl/ctrlProps/ctrlProp162.xml><?xml version="1.0" encoding="utf-8"?>
<formControlPr xmlns="http://schemas.microsoft.com/office/spreadsheetml/2009/9/main" objectType="CheckBox" fmlaLink="$G$224" lockText="1" noThreeD="1"/>
</file>

<file path=xl/ctrlProps/ctrlProp163.xml><?xml version="1.0" encoding="utf-8"?>
<formControlPr xmlns="http://schemas.microsoft.com/office/spreadsheetml/2009/9/main" objectType="CheckBox" fmlaLink="$G$226" lockText="1" noThreeD="1"/>
</file>

<file path=xl/ctrlProps/ctrlProp164.xml><?xml version="1.0" encoding="utf-8"?>
<formControlPr xmlns="http://schemas.microsoft.com/office/spreadsheetml/2009/9/main" objectType="CheckBox" fmlaLink="$G$227" lockText="1" noThreeD="1"/>
</file>

<file path=xl/ctrlProps/ctrlProp165.xml><?xml version="1.0" encoding="utf-8"?>
<formControlPr xmlns="http://schemas.microsoft.com/office/spreadsheetml/2009/9/main" objectType="CheckBox" fmlaLink="$G$228" lockText="1" noThreeD="1"/>
</file>

<file path=xl/ctrlProps/ctrlProp166.xml><?xml version="1.0" encoding="utf-8"?>
<formControlPr xmlns="http://schemas.microsoft.com/office/spreadsheetml/2009/9/main" objectType="CheckBox" fmlaLink="$G$230" lockText="1" noThreeD="1"/>
</file>

<file path=xl/ctrlProps/ctrlProp167.xml><?xml version="1.0" encoding="utf-8"?>
<formControlPr xmlns="http://schemas.microsoft.com/office/spreadsheetml/2009/9/main" objectType="CheckBox" fmlaLink="$G$231" lockText="1" noThreeD="1"/>
</file>

<file path=xl/ctrlProps/ctrlProp168.xml><?xml version="1.0" encoding="utf-8"?>
<formControlPr xmlns="http://schemas.microsoft.com/office/spreadsheetml/2009/9/main" objectType="CheckBox" fmlaLink="$G$232" lockText="1" noThreeD="1"/>
</file>

<file path=xl/ctrlProps/ctrlProp169.xml><?xml version="1.0" encoding="utf-8"?>
<formControlPr xmlns="http://schemas.microsoft.com/office/spreadsheetml/2009/9/main" objectType="CheckBox" fmlaLink="$G$234" lockText="1" noThreeD="1"/>
</file>

<file path=xl/ctrlProps/ctrlProp170.xml><?xml version="1.0" encoding="utf-8"?>
<formControlPr xmlns="http://schemas.microsoft.com/office/spreadsheetml/2009/9/main" objectType="CheckBox" fmlaLink="$G$235" lockText="1" noThreeD="1"/>
</file>

<file path=xl/ctrlProps/ctrlProp171.xml><?xml version="1.0" encoding="utf-8"?>
<formControlPr xmlns="http://schemas.microsoft.com/office/spreadsheetml/2009/9/main" objectType="CheckBox" fmlaLink="$G$236" lockText="1" noThreeD="1"/>
</file>

<file path=xl/ctrlProps/ctrlProp172.xml><?xml version="1.0" encoding="utf-8"?>
<formControlPr xmlns="http://schemas.microsoft.com/office/spreadsheetml/2009/9/main" objectType="CheckBox" fmlaLink="$G$238" lockText="1" noThreeD="1"/>
</file>

<file path=xl/ctrlProps/ctrlProp173.xml><?xml version="1.0" encoding="utf-8"?>
<formControlPr xmlns="http://schemas.microsoft.com/office/spreadsheetml/2009/9/main" objectType="CheckBox" fmlaLink="$G$239" lockText="1" noThreeD="1"/>
</file>

<file path=xl/ctrlProps/ctrlProp174.xml><?xml version="1.0" encoding="utf-8"?>
<formControlPr xmlns="http://schemas.microsoft.com/office/spreadsheetml/2009/9/main" objectType="CheckBox" fmlaLink="$G$240" lockText="1" noThreeD="1"/>
</file>

<file path=xl/ctrlProps/ctrlProp175.xml><?xml version="1.0" encoding="utf-8"?>
<formControlPr xmlns="http://schemas.microsoft.com/office/spreadsheetml/2009/9/main" objectType="CheckBox" fmlaLink="$G$242" lockText="1" noThreeD="1"/>
</file>

<file path=xl/ctrlProps/ctrlProp176.xml><?xml version="1.0" encoding="utf-8"?>
<formControlPr xmlns="http://schemas.microsoft.com/office/spreadsheetml/2009/9/main" objectType="CheckBox" fmlaLink="$G$243" lockText="1" noThreeD="1"/>
</file>

<file path=xl/ctrlProps/ctrlProp177.xml><?xml version="1.0" encoding="utf-8"?>
<formControlPr xmlns="http://schemas.microsoft.com/office/spreadsheetml/2009/9/main" objectType="CheckBox" fmlaLink="$G$244" lockText="1" noThreeD="1"/>
</file>

<file path=xl/ctrlProps/ctrlProp178.xml><?xml version="1.0" encoding="utf-8"?>
<formControlPr xmlns="http://schemas.microsoft.com/office/spreadsheetml/2009/9/main" objectType="CheckBox" fmlaLink="$G$246" lockText="1" noThreeD="1"/>
</file>

<file path=xl/ctrlProps/ctrlProp179.xml><?xml version="1.0" encoding="utf-8"?>
<formControlPr xmlns="http://schemas.microsoft.com/office/spreadsheetml/2009/9/main" objectType="CheckBox" fmlaLink="$G$247" lockText="1" noThreeD="1"/>
</file>

<file path=xl/ctrlProps/ctrlProp180.xml><?xml version="1.0" encoding="utf-8"?>
<formControlPr xmlns="http://schemas.microsoft.com/office/spreadsheetml/2009/9/main" objectType="CheckBox" fmlaLink="$G$248" lockText="1" noThreeD="1"/>
</file>

<file path=xl/ctrlProps/ctrlProp181.xml><?xml version="1.0" encoding="utf-8"?>
<formControlPr xmlns="http://schemas.microsoft.com/office/spreadsheetml/2009/9/main" objectType="CheckBox" fmlaLink="$G$250" lockText="1" noThreeD="1"/>
</file>

<file path=xl/ctrlProps/ctrlProp182.xml><?xml version="1.0" encoding="utf-8"?>
<formControlPr xmlns="http://schemas.microsoft.com/office/spreadsheetml/2009/9/main" objectType="CheckBox" fmlaLink="$G$251" lockText="1" noThreeD="1"/>
</file>

<file path=xl/ctrlProps/ctrlProp183.xml><?xml version="1.0" encoding="utf-8"?>
<formControlPr xmlns="http://schemas.microsoft.com/office/spreadsheetml/2009/9/main" objectType="CheckBox" fmlaLink="$G$252" lockText="1" noThreeD="1"/>
</file>

<file path=xl/ctrlProps/ctrlProp184.xml><?xml version="1.0" encoding="utf-8"?>
<formControlPr xmlns="http://schemas.microsoft.com/office/spreadsheetml/2009/9/main" objectType="CheckBox" fmlaLink="$G$254" lockText="1" noThreeD="1"/>
</file>

<file path=xl/ctrlProps/ctrlProp185.xml><?xml version="1.0" encoding="utf-8"?>
<formControlPr xmlns="http://schemas.microsoft.com/office/spreadsheetml/2009/9/main" objectType="CheckBox" fmlaLink="$G$255" lockText="1" noThreeD="1"/>
</file>

<file path=xl/ctrlProps/ctrlProp186.xml><?xml version="1.0" encoding="utf-8"?>
<formControlPr xmlns="http://schemas.microsoft.com/office/spreadsheetml/2009/9/main" objectType="CheckBox" fmlaLink="$G$256" lockText="1" noThreeD="1"/>
</file>

<file path=xl/ctrlProps/ctrlProp187.xml><?xml version="1.0" encoding="utf-8"?>
<formControlPr xmlns="http://schemas.microsoft.com/office/spreadsheetml/2009/9/main" objectType="CheckBox" fmlaLink="$G$262" lockText="1" noThreeD="1"/>
</file>

<file path=xl/ctrlProps/ctrlProp188.xml><?xml version="1.0" encoding="utf-8"?>
<formControlPr xmlns="http://schemas.microsoft.com/office/spreadsheetml/2009/9/main" objectType="CheckBox" fmlaLink="$G$263" lockText="1" noThreeD="1"/>
</file>

<file path=xl/ctrlProps/ctrlProp189.xml><?xml version="1.0" encoding="utf-8"?>
<formControlPr xmlns="http://schemas.microsoft.com/office/spreadsheetml/2009/9/main" objectType="CheckBox" fmlaLink="$G$264" lockText="1" noThreeD="1"/>
</file>

<file path=xl/ctrlProps/ctrlProp190.xml><?xml version="1.0" encoding="utf-8"?>
<formControlPr xmlns="http://schemas.microsoft.com/office/spreadsheetml/2009/9/main" objectType="CheckBox" fmlaLink="$G$266" lockText="1" noThreeD="1"/>
</file>

<file path=xl/ctrlProps/ctrlProp191.xml><?xml version="1.0" encoding="utf-8"?>
<formControlPr xmlns="http://schemas.microsoft.com/office/spreadsheetml/2009/9/main" objectType="CheckBox" fmlaLink="$G$267" lockText="1" noThreeD="1"/>
</file>

<file path=xl/ctrlProps/ctrlProp192.xml><?xml version="1.0" encoding="utf-8"?>
<formControlPr xmlns="http://schemas.microsoft.com/office/spreadsheetml/2009/9/main" objectType="CheckBox" fmlaLink="$G$268" lockText="1" noThreeD="1"/>
</file>

<file path=xl/ctrlProps/ctrlProp193.xml><?xml version="1.0" encoding="utf-8"?>
<formControlPr xmlns="http://schemas.microsoft.com/office/spreadsheetml/2009/9/main" objectType="CheckBox" fmlaLink="$G$270" lockText="1" noThreeD="1"/>
</file>

<file path=xl/ctrlProps/ctrlProp194.xml><?xml version="1.0" encoding="utf-8"?>
<formControlPr xmlns="http://schemas.microsoft.com/office/spreadsheetml/2009/9/main" objectType="CheckBox" fmlaLink="$G$271" lockText="1" noThreeD="1"/>
</file>

<file path=xl/ctrlProps/ctrlProp195.xml><?xml version="1.0" encoding="utf-8"?>
<formControlPr xmlns="http://schemas.microsoft.com/office/spreadsheetml/2009/9/main" objectType="CheckBox" fmlaLink="$G$272" lockText="1" noThreeD="1"/>
</file>

<file path=xl/ctrlProps/ctrlProp196.xml><?xml version="1.0" encoding="utf-8"?>
<formControlPr xmlns="http://schemas.microsoft.com/office/spreadsheetml/2009/9/main" objectType="CheckBox" fmlaLink="$G$274" lockText="1" noThreeD="1"/>
</file>

<file path=xl/ctrlProps/ctrlProp197.xml><?xml version="1.0" encoding="utf-8"?>
<formControlPr xmlns="http://schemas.microsoft.com/office/spreadsheetml/2009/9/main" objectType="CheckBox" fmlaLink="$G$275" lockText="1" noThreeD="1"/>
</file>

<file path=xl/ctrlProps/ctrlProp198.xml><?xml version="1.0" encoding="utf-8"?>
<formControlPr xmlns="http://schemas.microsoft.com/office/spreadsheetml/2009/9/main" objectType="CheckBox" fmlaLink="$G$276" lockText="1" noThreeD="1"/>
</file>

<file path=xl/ctrlProps/ctrlProp199.xml><?xml version="1.0" encoding="utf-8"?>
<formControlPr xmlns="http://schemas.microsoft.com/office/spreadsheetml/2009/9/main" objectType="CheckBox" fmlaLink="$G$278" lockText="1" noThreeD="1"/>
</file>

<file path=xl/ctrlProps/ctrlProp200.xml><?xml version="1.0" encoding="utf-8"?>
<formControlPr xmlns="http://schemas.microsoft.com/office/spreadsheetml/2009/9/main" objectType="CheckBox" fmlaLink="$G$279" lockText="1" noThreeD="1"/>
</file>

<file path=xl/ctrlProps/ctrlProp201.xml><?xml version="1.0" encoding="utf-8"?>
<formControlPr xmlns="http://schemas.microsoft.com/office/spreadsheetml/2009/9/main" objectType="CheckBox" fmlaLink="$G$280" lockText="1" noThreeD="1"/>
</file>

<file path=xl/ctrlProps/ctrlProp202.xml><?xml version="1.0" encoding="utf-8"?>
<formControlPr xmlns="http://schemas.microsoft.com/office/spreadsheetml/2009/9/main" objectType="CheckBox" fmlaLink="$G$282" lockText="1" noThreeD="1"/>
</file>

<file path=xl/ctrlProps/ctrlProp203.xml><?xml version="1.0" encoding="utf-8"?>
<formControlPr xmlns="http://schemas.microsoft.com/office/spreadsheetml/2009/9/main" objectType="CheckBox" fmlaLink="$G$283" lockText="1" noThreeD="1"/>
</file>

<file path=xl/ctrlProps/ctrlProp204.xml><?xml version="1.0" encoding="utf-8"?>
<formControlPr xmlns="http://schemas.microsoft.com/office/spreadsheetml/2009/9/main" objectType="CheckBox" fmlaLink="$G$284" lockText="1" noThreeD="1"/>
</file>

<file path=xl/ctrlProps/ctrlProp205.xml><?xml version="1.0" encoding="utf-8"?>
<formControlPr xmlns="http://schemas.microsoft.com/office/spreadsheetml/2009/9/main" objectType="CheckBox" fmlaLink="$G$286" lockText="1" noThreeD="1"/>
</file>

<file path=xl/ctrlProps/ctrlProp206.xml><?xml version="1.0" encoding="utf-8"?>
<formControlPr xmlns="http://schemas.microsoft.com/office/spreadsheetml/2009/9/main" objectType="CheckBox" fmlaLink="$G$287" lockText="1" noThreeD="1"/>
</file>

<file path=xl/ctrlProps/ctrlProp207.xml><?xml version="1.0" encoding="utf-8"?>
<formControlPr xmlns="http://schemas.microsoft.com/office/spreadsheetml/2009/9/main" objectType="CheckBox" fmlaLink="$G$288" lockText="1" noThreeD="1"/>
</file>

<file path=xl/ctrlProps/ctrlProp208.xml><?xml version="1.0" encoding="utf-8"?>
<formControlPr xmlns="http://schemas.microsoft.com/office/spreadsheetml/2009/9/main" objectType="CheckBox" fmlaLink="$G$290" lockText="1" noThreeD="1"/>
</file>

<file path=xl/ctrlProps/ctrlProp209.xml><?xml version="1.0" encoding="utf-8"?>
<formControlPr xmlns="http://schemas.microsoft.com/office/spreadsheetml/2009/9/main" objectType="CheckBox" fmlaLink="$G$291" lockText="1" noThreeD="1"/>
</file>

<file path=xl/ctrlProps/ctrlProp210.xml><?xml version="1.0" encoding="utf-8"?>
<formControlPr xmlns="http://schemas.microsoft.com/office/spreadsheetml/2009/9/main" objectType="CheckBox" fmlaLink="$G$292" lockText="1" noThreeD="1"/>
</file>

<file path=xl/ctrlProps/ctrlProp211.xml><?xml version="1.0" encoding="utf-8"?>
<formControlPr xmlns="http://schemas.microsoft.com/office/spreadsheetml/2009/9/main" objectType="CheckBox" fmlaLink="$G$294" lockText="1" noThreeD="1"/>
</file>

<file path=xl/ctrlProps/ctrlProp212.xml><?xml version="1.0" encoding="utf-8"?>
<formControlPr xmlns="http://schemas.microsoft.com/office/spreadsheetml/2009/9/main" objectType="CheckBox" fmlaLink="$G$295" lockText="1" noThreeD="1"/>
</file>

<file path=xl/ctrlProps/ctrlProp213.xml><?xml version="1.0" encoding="utf-8"?>
<formControlPr xmlns="http://schemas.microsoft.com/office/spreadsheetml/2009/9/main" objectType="CheckBox" fmlaLink="$G$296" lockText="1" noThreeD="1"/>
</file>

<file path=xl/ctrlProps/ctrlProp214.xml><?xml version="1.0" encoding="utf-8"?>
<formControlPr xmlns="http://schemas.microsoft.com/office/spreadsheetml/2009/9/main" objectType="CheckBox" fmlaLink="$G$298" lockText="1" noThreeD="1"/>
</file>

<file path=xl/ctrlProps/ctrlProp215.xml><?xml version="1.0" encoding="utf-8"?>
<formControlPr xmlns="http://schemas.microsoft.com/office/spreadsheetml/2009/9/main" objectType="CheckBox" fmlaLink="$G$299" lockText="1" noThreeD="1"/>
</file>

<file path=xl/ctrlProps/ctrlProp216.xml><?xml version="1.0" encoding="utf-8"?>
<formControlPr xmlns="http://schemas.microsoft.com/office/spreadsheetml/2009/9/main" objectType="CheckBox" fmlaLink="$G$300" lockText="1" noThreeD="1"/>
</file>

<file path=xl/ctrlProps/ctrlProp217.xml><?xml version="1.0" encoding="utf-8"?>
<formControlPr xmlns="http://schemas.microsoft.com/office/spreadsheetml/2009/9/main" objectType="CheckBox" fmlaLink="$G$302" lockText="1" noThreeD="1"/>
</file>

<file path=xl/ctrlProps/ctrlProp218.xml><?xml version="1.0" encoding="utf-8"?>
<formControlPr xmlns="http://schemas.microsoft.com/office/spreadsheetml/2009/9/main" objectType="CheckBox" fmlaLink="$G$303" lockText="1" noThreeD="1"/>
</file>

<file path=xl/ctrlProps/ctrlProp219.xml><?xml version="1.0" encoding="utf-8"?>
<formControlPr xmlns="http://schemas.microsoft.com/office/spreadsheetml/2009/9/main" objectType="CheckBox" fmlaLink="$G$304" lockText="1" noThreeD="1"/>
</file>

<file path=xl/ctrlProps/ctrlProp220.xml><?xml version="1.0" encoding="utf-8"?>
<formControlPr xmlns="http://schemas.microsoft.com/office/spreadsheetml/2009/9/main" objectType="CheckBox" fmlaLink="$G$306" lockText="1" noThreeD="1"/>
</file>

<file path=xl/ctrlProps/ctrlProp221.xml><?xml version="1.0" encoding="utf-8"?>
<formControlPr xmlns="http://schemas.microsoft.com/office/spreadsheetml/2009/9/main" objectType="CheckBox" fmlaLink="$G$307" lockText="1" noThreeD="1"/>
</file>

<file path=xl/ctrlProps/ctrlProp222.xml><?xml version="1.0" encoding="utf-8"?>
<formControlPr xmlns="http://schemas.microsoft.com/office/spreadsheetml/2009/9/main" objectType="CheckBox" fmlaLink="$G$308" lockText="1" noThreeD="1"/>
</file>

<file path=xl/ctrlProps/ctrlProp223.xml><?xml version="1.0" encoding="utf-8"?>
<formControlPr xmlns="http://schemas.microsoft.com/office/spreadsheetml/2009/9/main" objectType="CheckBox" fmlaLink="$G$310" lockText="1" noThreeD="1"/>
</file>

<file path=xl/ctrlProps/ctrlProp224.xml><?xml version="1.0" encoding="utf-8"?>
<formControlPr xmlns="http://schemas.microsoft.com/office/spreadsheetml/2009/9/main" objectType="CheckBox" fmlaLink="$G$311" lockText="1" noThreeD="1"/>
</file>

<file path=xl/ctrlProps/ctrlProp225.xml><?xml version="1.0" encoding="utf-8"?>
<formControlPr xmlns="http://schemas.microsoft.com/office/spreadsheetml/2009/9/main" objectType="CheckBox" fmlaLink="$G$312" lockText="1" noThreeD="1"/>
</file>

<file path=xl/ctrlProps/ctrlProp226.xml><?xml version="1.0" encoding="utf-8"?>
<formControlPr xmlns="http://schemas.microsoft.com/office/spreadsheetml/2009/9/main" objectType="CheckBox" fmlaLink="$G$314" lockText="1" noThreeD="1"/>
</file>

<file path=xl/ctrlProps/ctrlProp227.xml><?xml version="1.0" encoding="utf-8"?>
<formControlPr xmlns="http://schemas.microsoft.com/office/spreadsheetml/2009/9/main" objectType="CheckBox" fmlaLink="$G$315" lockText="1" noThreeD="1"/>
</file>

<file path=xl/ctrlProps/ctrlProp228.xml><?xml version="1.0" encoding="utf-8"?>
<formControlPr xmlns="http://schemas.microsoft.com/office/spreadsheetml/2009/9/main" objectType="CheckBox" fmlaLink="$G$316" lockText="1" noThreeD="1"/>
</file>

<file path=xl/ctrlProps/ctrlProp229.xml><?xml version="1.0" encoding="utf-8"?>
<formControlPr xmlns="http://schemas.microsoft.com/office/spreadsheetml/2009/9/main" objectType="CheckBox" fmlaLink="$G$318" lockText="1" noThreeD="1"/>
</file>

<file path=xl/ctrlProps/ctrlProp230.xml><?xml version="1.0" encoding="utf-8"?>
<formControlPr xmlns="http://schemas.microsoft.com/office/spreadsheetml/2009/9/main" objectType="CheckBox" fmlaLink="$G$319" lockText="1" noThreeD="1"/>
</file>

<file path=xl/ctrlProps/ctrlProp231.xml><?xml version="1.0" encoding="utf-8"?>
<formControlPr xmlns="http://schemas.microsoft.com/office/spreadsheetml/2009/9/main" objectType="CheckBox" fmlaLink="$G$320" lockText="1" noThreeD="1"/>
</file>

<file path=xl/ctrlProps/ctrlProp232.xml><?xml version="1.0" encoding="utf-8"?>
<formControlPr xmlns="http://schemas.microsoft.com/office/spreadsheetml/2009/9/main" objectType="CheckBox" fmlaLink="$G$322" lockText="1" noThreeD="1"/>
</file>

<file path=xl/ctrlProps/ctrlProp233.xml><?xml version="1.0" encoding="utf-8"?>
<formControlPr xmlns="http://schemas.microsoft.com/office/spreadsheetml/2009/9/main" objectType="CheckBox" fmlaLink="$G$323" lockText="1" noThreeD="1"/>
</file>

<file path=xl/ctrlProps/ctrlProp234.xml><?xml version="1.0" encoding="utf-8"?>
<formControlPr xmlns="http://schemas.microsoft.com/office/spreadsheetml/2009/9/main" objectType="CheckBox" fmlaLink="$G$324" lockText="1" noThreeD="1"/>
</file>

<file path=xl/ctrlProps/ctrlProp235.xml><?xml version="1.0" encoding="utf-8"?>
<formControlPr xmlns="http://schemas.microsoft.com/office/spreadsheetml/2009/9/main" objectType="CheckBox" fmlaLink="$G$326" lockText="1" noThreeD="1"/>
</file>

<file path=xl/ctrlProps/ctrlProp236.xml><?xml version="1.0" encoding="utf-8"?>
<formControlPr xmlns="http://schemas.microsoft.com/office/spreadsheetml/2009/9/main" objectType="CheckBox" fmlaLink="$G$327" lockText="1" noThreeD="1"/>
</file>

<file path=xl/ctrlProps/ctrlProp237.xml><?xml version="1.0" encoding="utf-8"?>
<formControlPr xmlns="http://schemas.microsoft.com/office/spreadsheetml/2009/9/main" objectType="CheckBox" fmlaLink="$G$328" lockText="1" noThreeD="1"/>
</file>

<file path=xl/ctrlProps/ctrlProp238.xml><?xml version="1.0" encoding="utf-8"?>
<formControlPr xmlns="http://schemas.microsoft.com/office/spreadsheetml/2009/9/main" objectType="CheckBox" fmlaLink="$G$258" lockText="1" noThreeD="1"/>
</file>

<file path=xl/ctrlProps/ctrlProp239.xml><?xml version="1.0" encoding="utf-8"?>
<formControlPr xmlns="http://schemas.microsoft.com/office/spreadsheetml/2009/9/main" objectType="CheckBox" fmlaLink="$G$259" lockText="1" noThreeD="1"/>
</file>

<file path=xl/ctrlProps/ctrlProp240.xml><?xml version="1.0" encoding="utf-8"?>
<formControlPr xmlns="http://schemas.microsoft.com/office/spreadsheetml/2009/9/main" objectType="CheckBox" fmlaLink="$G$260" lockText="1" noThreeD="1"/>
</file>

<file path=xl/ctrlProps/ctrlProp241.xml><?xml version="1.0" encoding="utf-8"?>
<formControlPr xmlns="http://schemas.microsoft.com/office/spreadsheetml/2009/9/main" objectType="CheckBox" fmlaLink="$G$330" lockText="1" noThreeD="1"/>
</file>

<file path=xl/ctrlProps/ctrlProp242.xml><?xml version="1.0" encoding="utf-8"?>
<formControlPr xmlns="http://schemas.microsoft.com/office/spreadsheetml/2009/9/main" objectType="CheckBox" fmlaLink="$G$331" lockText="1" noThreeD="1"/>
</file>

<file path=xl/ctrlProps/ctrlProp243.xml><?xml version="1.0" encoding="utf-8"?>
<formControlPr xmlns="http://schemas.microsoft.com/office/spreadsheetml/2009/9/main" objectType="CheckBox" fmlaLink="$G$332" lockText="1" noThreeD="1"/>
</file>

<file path=xl/ctrlProps/ctrlProp244.xml><?xml version="1.0" encoding="utf-8"?>
<formControlPr xmlns="http://schemas.microsoft.com/office/spreadsheetml/2009/9/main" objectType="CheckBox" fmlaLink="$G$334" lockText="1" noThreeD="1"/>
</file>

<file path=xl/ctrlProps/ctrlProp245.xml><?xml version="1.0" encoding="utf-8"?>
<formControlPr xmlns="http://schemas.microsoft.com/office/spreadsheetml/2009/9/main" objectType="CheckBox" fmlaLink="$G$335" lockText="1" noThreeD="1"/>
</file>

<file path=xl/ctrlProps/ctrlProp246.xml><?xml version="1.0" encoding="utf-8"?>
<formControlPr xmlns="http://schemas.microsoft.com/office/spreadsheetml/2009/9/main" objectType="CheckBox" fmlaLink="$G$336" lockText="1" noThreeD="1"/>
</file>

<file path=xl/ctrlProps/ctrlProp247.xml><?xml version="1.0" encoding="utf-8"?>
<formControlPr xmlns="http://schemas.microsoft.com/office/spreadsheetml/2009/9/main" objectType="CheckBox" fmlaLink="$G$338" lockText="1" noThreeD="1"/>
</file>

<file path=xl/ctrlProps/ctrlProp248.xml><?xml version="1.0" encoding="utf-8"?>
<formControlPr xmlns="http://schemas.microsoft.com/office/spreadsheetml/2009/9/main" objectType="CheckBox" fmlaLink="$G$339" lockText="1" noThreeD="1"/>
</file>

<file path=xl/ctrlProps/ctrlProp249.xml><?xml version="1.0" encoding="utf-8"?>
<formControlPr xmlns="http://schemas.microsoft.com/office/spreadsheetml/2009/9/main" objectType="CheckBox" fmlaLink="$G$340" lockText="1" noThreeD="1"/>
</file>

<file path=xl/ctrlProps/ctrlProp250.xml><?xml version="1.0" encoding="utf-8"?>
<formControlPr xmlns="http://schemas.microsoft.com/office/spreadsheetml/2009/9/main" objectType="CheckBox" fmlaLink="$G$342" lockText="1" noThreeD="1"/>
</file>

<file path=xl/ctrlProps/ctrlProp251.xml><?xml version="1.0" encoding="utf-8"?>
<formControlPr xmlns="http://schemas.microsoft.com/office/spreadsheetml/2009/9/main" objectType="CheckBox" fmlaLink="$G$343" lockText="1" noThreeD="1"/>
</file>

<file path=xl/ctrlProps/ctrlProp252.xml><?xml version="1.0" encoding="utf-8"?>
<formControlPr xmlns="http://schemas.microsoft.com/office/spreadsheetml/2009/9/main" objectType="CheckBox" fmlaLink="$G$344" lockText="1" noThreeD="1"/>
</file>

<file path=xl/ctrlProps/ctrlProp253.xml><?xml version="1.0" encoding="utf-8"?>
<formControlPr xmlns="http://schemas.microsoft.com/office/spreadsheetml/2009/9/main" objectType="CheckBox" fmlaLink="$G$346" lockText="1" noThreeD="1"/>
</file>

<file path=xl/ctrlProps/ctrlProp254.xml><?xml version="1.0" encoding="utf-8"?>
<formControlPr xmlns="http://schemas.microsoft.com/office/spreadsheetml/2009/9/main" objectType="CheckBox" fmlaLink="$G$347" lockText="1" noThreeD="1"/>
</file>

<file path=xl/ctrlProps/ctrlProp255.xml><?xml version="1.0" encoding="utf-8"?>
<formControlPr xmlns="http://schemas.microsoft.com/office/spreadsheetml/2009/9/main" objectType="CheckBox" fmlaLink="$G$348" lockText="1" noThreeD="1"/>
</file>

<file path=xl/ctrlProps/ctrlProp256.xml><?xml version="1.0" encoding="utf-8"?>
<formControlPr xmlns="http://schemas.microsoft.com/office/spreadsheetml/2009/9/main" objectType="CheckBox" fmlaLink="$G$354" lockText="1" noThreeD="1"/>
</file>

<file path=xl/ctrlProps/ctrlProp257.xml><?xml version="1.0" encoding="utf-8"?>
<formControlPr xmlns="http://schemas.microsoft.com/office/spreadsheetml/2009/9/main" objectType="CheckBox" fmlaLink="$G$355" lockText="1" noThreeD="1"/>
</file>

<file path=xl/ctrlProps/ctrlProp258.xml><?xml version="1.0" encoding="utf-8"?>
<formControlPr xmlns="http://schemas.microsoft.com/office/spreadsheetml/2009/9/main" objectType="CheckBox" fmlaLink="$G$356" lockText="1" noThreeD="1"/>
</file>

<file path=xl/ctrlProps/ctrlProp259.xml><?xml version="1.0" encoding="utf-8"?>
<formControlPr xmlns="http://schemas.microsoft.com/office/spreadsheetml/2009/9/main" objectType="CheckBox" fmlaLink="$G$358" lockText="1" noThreeD="1"/>
</file>

<file path=xl/ctrlProps/ctrlProp260.xml><?xml version="1.0" encoding="utf-8"?>
<formControlPr xmlns="http://schemas.microsoft.com/office/spreadsheetml/2009/9/main" objectType="CheckBox" fmlaLink="$G$359" lockText="1" noThreeD="1"/>
</file>

<file path=xl/ctrlProps/ctrlProp261.xml><?xml version="1.0" encoding="utf-8"?>
<formControlPr xmlns="http://schemas.microsoft.com/office/spreadsheetml/2009/9/main" objectType="CheckBox" fmlaLink="$G$360" lockText="1" noThreeD="1"/>
</file>

<file path=xl/ctrlProps/ctrlProp262.xml><?xml version="1.0" encoding="utf-8"?>
<formControlPr xmlns="http://schemas.microsoft.com/office/spreadsheetml/2009/9/main" objectType="CheckBox" fmlaLink="$G$370" lockText="1" noThreeD="1"/>
</file>

<file path=xl/ctrlProps/ctrlProp263.xml><?xml version="1.0" encoding="utf-8"?>
<formControlPr xmlns="http://schemas.microsoft.com/office/spreadsheetml/2009/9/main" objectType="CheckBox" fmlaLink="$G$371" lockText="1" noThreeD="1"/>
</file>

<file path=xl/ctrlProps/ctrlProp264.xml><?xml version="1.0" encoding="utf-8"?>
<formControlPr xmlns="http://schemas.microsoft.com/office/spreadsheetml/2009/9/main" objectType="CheckBox" fmlaLink="$G$372" lockText="1" noThreeD="1"/>
</file>

<file path=xl/ctrlProps/ctrlProp265.xml><?xml version="1.0" encoding="utf-8"?>
<formControlPr xmlns="http://schemas.microsoft.com/office/spreadsheetml/2009/9/main" objectType="CheckBox" fmlaLink="$G$374" lockText="1" noThreeD="1"/>
</file>

<file path=xl/ctrlProps/ctrlProp266.xml><?xml version="1.0" encoding="utf-8"?>
<formControlPr xmlns="http://schemas.microsoft.com/office/spreadsheetml/2009/9/main" objectType="CheckBox" fmlaLink="$G$375" lockText="1" noThreeD="1"/>
</file>

<file path=xl/ctrlProps/ctrlProp267.xml><?xml version="1.0" encoding="utf-8"?>
<formControlPr xmlns="http://schemas.microsoft.com/office/spreadsheetml/2009/9/main" objectType="CheckBox" fmlaLink="$G$376" lockText="1" noThreeD="1"/>
</file>

<file path=xl/ctrlProps/ctrlProp268.xml><?xml version="1.0" encoding="utf-8"?>
<formControlPr xmlns="http://schemas.microsoft.com/office/spreadsheetml/2009/9/main" objectType="CheckBox" fmlaLink="$G$378" lockText="1" noThreeD="1"/>
</file>

<file path=xl/ctrlProps/ctrlProp269.xml><?xml version="1.0" encoding="utf-8"?>
<formControlPr xmlns="http://schemas.microsoft.com/office/spreadsheetml/2009/9/main" objectType="CheckBox" fmlaLink="$G$379" lockText="1" noThreeD="1"/>
</file>

<file path=xl/ctrlProps/ctrlProp270.xml><?xml version="1.0" encoding="utf-8"?>
<formControlPr xmlns="http://schemas.microsoft.com/office/spreadsheetml/2009/9/main" objectType="CheckBox" fmlaLink="$G$380" lockText="1" noThreeD="1"/>
</file>

<file path=xl/ctrlProps/ctrlProp271.xml><?xml version="1.0" encoding="utf-8"?>
<formControlPr xmlns="http://schemas.microsoft.com/office/spreadsheetml/2009/9/main" objectType="CheckBox" fmlaLink="$G$382" lockText="1" noThreeD="1"/>
</file>

<file path=xl/ctrlProps/ctrlProp272.xml><?xml version="1.0" encoding="utf-8"?>
<formControlPr xmlns="http://schemas.microsoft.com/office/spreadsheetml/2009/9/main" objectType="CheckBox" fmlaLink="$G$383" lockText="1" noThreeD="1"/>
</file>

<file path=xl/ctrlProps/ctrlProp273.xml><?xml version="1.0" encoding="utf-8"?>
<formControlPr xmlns="http://schemas.microsoft.com/office/spreadsheetml/2009/9/main" objectType="CheckBox" fmlaLink="$G$384" lockText="1" noThreeD="1"/>
</file>

<file path=xl/ctrlProps/ctrlProp274.xml><?xml version="1.0" encoding="utf-8"?>
<formControlPr xmlns="http://schemas.microsoft.com/office/spreadsheetml/2009/9/main" objectType="CheckBox" fmlaLink="$G$386" lockText="1" noThreeD="1"/>
</file>

<file path=xl/ctrlProps/ctrlProp275.xml><?xml version="1.0" encoding="utf-8"?>
<formControlPr xmlns="http://schemas.microsoft.com/office/spreadsheetml/2009/9/main" objectType="CheckBox" fmlaLink="$G$387" lockText="1" noThreeD="1"/>
</file>

<file path=xl/ctrlProps/ctrlProp276.xml><?xml version="1.0" encoding="utf-8"?>
<formControlPr xmlns="http://schemas.microsoft.com/office/spreadsheetml/2009/9/main" objectType="CheckBox" fmlaLink="$G$388" lockText="1" noThreeD="1"/>
</file>

<file path=xl/ctrlProps/ctrlProp277.xml><?xml version="1.0" encoding="utf-8"?>
<formControlPr xmlns="http://schemas.microsoft.com/office/spreadsheetml/2009/9/main" objectType="CheckBox" fmlaLink="$G$390" lockText="1" noThreeD="1"/>
</file>

<file path=xl/ctrlProps/ctrlProp278.xml><?xml version="1.0" encoding="utf-8"?>
<formControlPr xmlns="http://schemas.microsoft.com/office/spreadsheetml/2009/9/main" objectType="CheckBox" fmlaLink="$G$391" lockText="1" noThreeD="1"/>
</file>

<file path=xl/ctrlProps/ctrlProp279.xml><?xml version="1.0" encoding="utf-8"?>
<formControlPr xmlns="http://schemas.microsoft.com/office/spreadsheetml/2009/9/main" objectType="CheckBox" fmlaLink="$G$392" lockText="1" noThreeD="1"/>
</file>

<file path=xl/ctrlProps/ctrlProp280.xml><?xml version="1.0" encoding="utf-8"?>
<formControlPr xmlns="http://schemas.microsoft.com/office/spreadsheetml/2009/9/main" objectType="CheckBox" fmlaLink="$G$394" lockText="1" noThreeD="1"/>
</file>

<file path=xl/ctrlProps/ctrlProp281.xml><?xml version="1.0" encoding="utf-8"?>
<formControlPr xmlns="http://schemas.microsoft.com/office/spreadsheetml/2009/9/main" objectType="CheckBox" fmlaLink="$G$395" lockText="1" noThreeD="1"/>
</file>

<file path=xl/ctrlProps/ctrlProp282.xml><?xml version="1.0" encoding="utf-8"?>
<formControlPr xmlns="http://schemas.microsoft.com/office/spreadsheetml/2009/9/main" objectType="CheckBox" fmlaLink="$G$396" lockText="1" noThreeD="1"/>
</file>

<file path=xl/ctrlProps/ctrlProp283.xml><?xml version="1.0" encoding="utf-8"?>
<formControlPr xmlns="http://schemas.microsoft.com/office/spreadsheetml/2009/9/main" objectType="CheckBox" fmlaLink="$G$398" lockText="1" noThreeD="1"/>
</file>

<file path=xl/ctrlProps/ctrlProp284.xml><?xml version="1.0" encoding="utf-8"?>
<formControlPr xmlns="http://schemas.microsoft.com/office/spreadsheetml/2009/9/main" objectType="CheckBox" fmlaLink="$G$399" lockText="1" noThreeD="1"/>
</file>

<file path=xl/ctrlProps/ctrlProp285.xml><?xml version="1.0" encoding="utf-8"?>
<formControlPr xmlns="http://schemas.microsoft.com/office/spreadsheetml/2009/9/main" objectType="CheckBox" fmlaLink="$G$400" lockText="1" noThreeD="1"/>
</file>

<file path=xl/ctrlProps/ctrlProp286.xml><?xml version="1.0" encoding="utf-8"?>
<formControlPr xmlns="http://schemas.microsoft.com/office/spreadsheetml/2009/9/main" objectType="CheckBox" fmlaLink="$G$402" lockText="1" noThreeD="1"/>
</file>

<file path=xl/ctrlProps/ctrlProp287.xml><?xml version="1.0" encoding="utf-8"?>
<formControlPr xmlns="http://schemas.microsoft.com/office/spreadsheetml/2009/9/main" objectType="CheckBox" fmlaLink="$G$403" lockText="1" noThreeD="1"/>
</file>

<file path=xl/ctrlProps/ctrlProp288.xml><?xml version="1.0" encoding="utf-8"?>
<formControlPr xmlns="http://schemas.microsoft.com/office/spreadsheetml/2009/9/main" objectType="CheckBox" fmlaLink="$G$404" lockText="1" noThreeD="1"/>
</file>

<file path=xl/ctrlProps/ctrlProp289.xml><?xml version="1.0" encoding="utf-8"?>
<formControlPr xmlns="http://schemas.microsoft.com/office/spreadsheetml/2009/9/main" objectType="CheckBox" fmlaLink="$G$406" lockText="1" noThreeD="1"/>
</file>

<file path=xl/ctrlProps/ctrlProp290.xml><?xml version="1.0" encoding="utf-8"?>
<formControlPr xmlns="http://schemas.microsoft.com/office/spreadsheetml/2009/9/main" objectType="CheckBox" fmlaLink="$G$407" lockText="1" noThreeD="1"/>
</file>

<file path=xl/ctrlProps/ctrlProp291.xml><?xml version="1.0" encoding="utf-8"?>
<formControlPr xmlns="http://schemas.microsoft.com/office/spreadsheetml/2009/9/main" objectType="CheckBox" fmlaLink="$G$408" lockText="1" noThreeD="1"/>
</file>

<file path=xl/ctrlProps/ctrlProp292.xml><?xml version="1.0" encoding="utf-8"?>
<formControlPr xmlns="http://schemas.microsoft.com/office/spreadsheetml/2009/9/main" objectType="CheckBox" fmlaLink="$G$350" lockText="1" noThreeD="1"/>
</file>

<file path=xl/ctrlProps/ctrlProp293.xml><?xml version="1.0" encoding="utf-8"?>
<formControlPr xmlns="http://schemas.microsoft.com/office/spreadsheetml/2009/9/main" objectType="CheckBox" fmlaLink="$G$351" lockText="1" noThreeD="1"/>
</file>

<file path=xl/ctrlProps/ctrlProp294.xml><?xml version="1.0" encoding="utf-8"?>
<formControlPr xmlns="http://schemas.microsoft.com/office/spreadsheetml/2009/9/main" objectType="CheckBox" fmlaLink="$G$352" lockText="1" noThreeD="1"/>
</file>

<file path=xl/ctrlProps/ctrlProp295.xml><?xml version="1.0" encoding="utf-8"?>
<formControlPr xmlns="http://schemas.microsoft.com/office/spreadsheetml/2009/9/main" objectType="CheckBox" fmlaLink="$G$362" lockText="1" noThreeD="1"/>
</file>

<file path=xl/ctrlProps/ctrlProp296.xml><?xml version="1.0" encoding="utf-8"?>
<formControlPr xmlns="http://schemas.microsoft.com/office/spreadsheetml/2009/9/main" objectType="CheckBox" fmlaLink="$G$363" lockText="1" noThreeD="1"/>
</file>

<file path=xl/ctrlProps/ctrlProp297.xml><?xml version="1.0" encoding="utf-8"?>
<formControlPr xmlns="http://schemas.microsoft.com/office/spreadsheetml/2009/9/main" objectType="CheckBox" fmlaLink="$G$364" lockText="1" noThreeD="1"/>
</file>

<file path=xl/ctrlProps/ctrlProp298.xml><?xml version="1.0" encoding="utf-8"?>
<formControlPr xmlns="http://schemas.microsoft.com/office/spreadsheetml/2009/9/main" objectType="CheckBox" fmlaLink="$G$366" lockText="1" noThreeD="1"/>
</file>

<file path=xl/ctrlProps/ctrlProp299.xml><?xml version="1.0" encoding="utf-8"?>
<formControlPr xmlns="http://schemas.microsoft.com/office/spreadsheetml/2009/9/main" objectType="CheckBox" fmlaLink="$G$367" lockText="1" noThreeD="1"/>
</file>

<file path=xl/ctrlProps/ctrlProp300.xml><?xml version="1.0" encoding="utf-8"?>
<formControlPr xmlns="http://schemas.microsoft.com/office/spreadsheetml/2009/9/main" objectType="CheckBox" fmlaLink="$G$368" lockText="1" noThreeD="1"/>
</file>

<file path=xl/ctrlProps/ctrlProp301.xml><?xml version="1.0" encoding="utf-8"?>
<formControlPr xmlns="http://schemas.microsoft.com/office/spreadsheetml/2009/9/main" objectType="CheckBox" fmlaLink="$G$410" lockText="1" noThreeD="1"/>
</file>

<file path=xl/ctrlProps/ctrlProp302.xml><?xml version="1.0" encoding="utf-8"?>
<formControlPr xmlns="http://schemas.microsoft.com/office/spreadsheetml/2009/9/main" objectType="CheckBox" fmlaLink="$G$411" lockText="1" noThreeD="1"/>
</file>

<file path=xl/ctrlProps/ctrlProp303.xml><?xml version="1.0" encoding="utf-8"?>
<formControlPr xmlns="http://schemas.microsoft.com/office/spreadsheetml/2009/9/main" objectType="CheckBox" fmlaLink="$G$412" lockText="1" noThreeD="1"/>
</file>

<file path=xl/ctrlProps/ctrlProp304.xml><?xml version="1.0" encoding="utf-8"?>
<formControlPr xmlns="http://schemas.microsoft.com/office/spreadsheetml/2009/9/main" objectType="CheckBox" fmlaLink="$G$414" lockText="1" noThreeD="1"/>
</file>

<file path=xl/ctrlProps/ctrlProp305.xml><?xml version="1.0" encoding="utf-8"?>
<formControlPr xmlns="http://schemas.microsoft.com/office/spreadsheetml/2009/9/main" objectType="CheckBox" fmlaLink="$G$415" lockText="1" noThreeD="1"/>
</file>

<file path=xl/ctrlProps/ctrlProp306.xml><?xml version="1.0" encoding="utf-8"?>
<formControlPr xmlns="http://schemas.microsoft.com/office/spreadsheetml/2009/9/main" objectType="CheckBox" fmlaLink="$G$416" lockText="1" noThreeD="1"/>
</file>

<file path=xl/ctrlProps/ctrlProp307.xml><?xml version="1.0" encoding="utf-8"?>
<formControlPr xmlns="http://schemas.microsoft.com/office/spreadsheetml/2009/9/main" objectType="CheckBox" fmlaLink="$G$418" lockText="1" noThreeD="1"/>
</file>

<file path=xl/ctrlProps/ctrlProp308.xml><?xml version="1.0" encoding="utf-8"?>
<formControlPr xmlns="http://schemas.microsoft.com/office/spreadsheetml/2009/9/main" objectType="CheckBox" fmlaLink="$G$419" lockText="1" noThreeD="1"/>
</file>

<file path=xl/ctrlProps/ctrlProp309.xml><?xml version="1.0" encoding="utf-8"?>
<formControlPr xmlns="http://schemas.microsoft.com/office/spreadsheetml/2009/9/main" objectType="CheckBox" fmlaLink="$G$420" lockText="1" noThreeD="1"/>
</file>

<file path=xl/ctrlProps/ctrlProp310.xml><?xml version="1.0" encoding="utf-8"?>
<formControlPr xmlns="http://schemas.microsoft.com/office/spreadsheetml/2009/9/main" objectType="CheckBox" fmlaLink="$G$422" lockText="1" noThreeD="1"/>
</file>

<file path=xl/ctrlProps/ctrlProp311.xml><?xml version="1.0" encoding="utf-8"?>
<formControlPr xmlns="http://schemas.microsoft.com/office/spreadsheetml/2009/9/main" objectType="CheckBox" fmlaLink="$G$423" lockText="1" noThreeD="1"/>
</file>

<file path=xl/ctrlProps/ctrlProp312.xml><?xml version="1.0" encoding="utf-8"?>
<formControlPr xmlns="http://schemas.microsoft.com/office/spreadsheetml/2009/9/main" objectType="CheckBox" fmlaLink="$G$424" lockText="1" noThreeD="1"/>
</file>

<file path=xl/ctrlProps/ctrlProp313.xml><?xml version="1.0" encoding="utf-8"?>
<formControlPr xmlns="http://schemas.microsoft.com/office/spreadsheetml/2009/9/main" objectType="CheckBox" fmlaLink="$G$426" lockText="1" noThreeD="1"/>
</file>

<file path=xl/ctrlProps/ctrlProp314.xml><?xml version="1.0" encoding="utf-8"?>
<formControlPr xmlns="http://schemas.microsoft.com/office/spreadsheetml/2009/9/main" objectType="CheckBox" fmlaLink="$G$427" lockText="1" noThreeD="1"/>
</file>

<file path=xl/ctrlProps/ctrlProp315.xml><?xml version="1.0" encoding="utf-8"?>
<formControlPr xmlns="http://schemas.microsoft.com/office/spreadsheetml/2009/9/main" objectType="CheckBox" fmlaLink="$G$428" lockText="1" noThreeD="1"/>
</file>

<file path=xl/ctrlProps/ctrlProp316.xml><?xml version="1.0" encoding="utf-8"?>
<formControlPr xmlns="http://schemas.microsoft.com/office/spreadsheetml/2009/9/main" objectType="CheckBox" fmlaLink="$G$430" lockText="1" noThreeD="1"/>
</file>

<file path=xl/ctrlProps/ctrlProp317.xml><?xml version="1.0" encoding="utf-8"?>
<formControlPr xmlns="http://schemas.microsoft.com/office/spreadsheetml/2009/9/main" objectType="CheckBox" fmlaLink="$G$431" lockText="1" noThreeD="1"/>
</file>

<file path=xl/ctrlProps/ctrlProp318.xml><?xml version="1.0" encoding="utf-8"?>
<formControlPr xmlns="http://schemas.microsoft.com/office/spreadsheetml/2009/9/main" objectType="CheckBox" fmlaLink="$G$432" lockText="1" noThreeD="1"/>
</file>

<file path=xl/ctrlProps/ctrlProp319.xml><?xml version="1.0" encoding="utf-8"?>
<formControlPr xmlns="http://schemas.microsoft.com/office/spreadsheetml/2009/9/main" objectType="CheckBox" fmlaLink="$G$434" lockText="1" noThreeD="1"/>
</file>

<file path=xl/ctrlProps/ctrlProp320.xml><?xml version="1.0" encoding="utf-8"?>
<formControlPr xmlns="http://schemas.microsoft.com/office/spreadsheetml/2009/9/main" objectType="CheckBox" fmlaLink="$G$435" lockText="1" noThreeD="1"/>
</file>

<file path=xl/ctrlProps/ctrlProp321.xml><?xml version="1.0" encoding="utf-8"?>
<formControlPr xmlns="http://schemas.microsoft.com/office/spreadsheetml/2009/9/main" objectType="CheckBox" fmlaLink="$G$436" lockText="1" noThreeD="1"/>
</file>

<file path=xl/ctrlProps/ctrlProp322.xml><?xml version="1.0" encoding="utf-8"?>
<formControlPr xmlns="http://schemas.microsoft.com/office/spreadsheetml/2009/9/main" objectType="CheckBox" fmlaLink="$G$438" lockText="1" noThreeD="1"/>
</file>

<file path=xl/ctrlProps/ctrlProp323.xml><?xml version="1.0" encoding="utf-8"?>
<formControlPr xmlns="http://schemas.microsoft.com/office/spreadsheetml/2009/9/main" objectType="CheckBox" fmlaLink="$G$439" lockText="1" noThreeD="1"/>
</file>

<file path=xl/ctrlProps/ctrlProp324.xml><?xml version="1.0" encoding="utf-8"?>
<formControlPr xmlns="http://schemas.microsoft.com/office/spreadsheetml/2009/9/main" objectType="CheckBox" fmlaLink="$G$440" lockText="1" noThreeD="1"/>
</file>

<file path=xl/ctrlProps/ctrlProp325.xml><?xml version="1.0" encoding="utf-8"?>
<formControlPr xmlns="http://schemas.microsoft.com/office/spreadsheetml/2009/9/main" objectType="CheckBox" fmlaLink="$G$442" lockText="1" noThreeD="1"/>
</file>

<file path=xl/ctrlProps/ctrlProp326.xml><?xml version="1.0" encoding="utf-8"?>
<formControlPr xmlns="http://schemas.microsoft.com/office/spreadsheetml/2009/9/main" objectType="CheckBox" fmlaLink="$G$443" lockText="1" noThreeD="1"/>
</file>

<file path=xl/ctrlProps/ctrlProp327.xml><?xml version="1.0" encoding="utf-8"?>
<formControlPr xmlns="http://schemas.microsoft.com/office/spreadsheetml/2009/9/main" objectType="CheckBox" fmlaLink="$G$444" lockText="1" noThreeD="1"/>
</file>

<file path=xl/ctrlProps/ctrlProp328.xml><?xml version="1.0" encoding="utf-8"?>
<formControlPr xmlns="http://schemas.microsoft.com/office/spreadsheetml/2009/9/main" objectType="CheckBox" fmlaLink="$G$446" lockText="1" noThreeD="1"/>
</file>

<file path=xl/ctrlProps/ctrlProp329.xml><?xml version="1.0" encoding="utf-8"?>
<formControlPr xmlns="http://schemas.microsoft.com/office/spreadsheetml/2009/9/main" objectType="CheckBox" fmlaLink="$G$447" lockText="1" noThreeD="1"/>
</file>

<file path=xl/ctrlProps/ctrlProp330.xml><?xml version="1.0" encoding="utf-8"?>
<formControlPr xmlns="http://schemas.microsoft.com/office/spreadsheetml/2009/9/main" objectType="CheckBox" fmlaLink="$G$448" lockText="1" noThreeD="1"/>
</file>

<file path=xl/ctrlProps/ctrlProp331.xml><?xml version="1.0" encoding="utf-8"?>
<formControlPr xmlns="http://schemas.microsoft.com/office/spreadsheetml/2009/9/main" objectType="CheckBox" fmlaLink="$G$450" lockText="1" noThreeD="1"/>
</file>

<file path=xl/ctrlProps/ctrlProp332.xml><?xml version="1.0" encoding="utf-8"?>
<formControlPr xmlns="http://schemas.microsoft.com/office/spreadsheetml/2009/9/main" objectType="CheckBox" fmlaLink="$G$451" lockText="1" noThreeD="1"/>
</file>

<file path=xl/ctrlProps/ctrlProp333.xml><?xml version="1.0" encoding="utf-8"?>
<formControlPr xmlns="http://schemas.microsoft.com/office/spreadsheetml/2009/9/main" objectType="CheckBox" fmlaLink="$G$452" lockText="1" noThreeD="1"/>
</file>

<file path=xl/ctrlProps/ctrlProp334.xml><?xml version="1.0" encoding="utf-8"?>
<formControlPr xmlns="http://schemas.microsoft.com/office/spreadsheetml/2009/9/main" objectType="CheckBox" fmlaLink="$G$454" lockText="1" noThreeD="1"/>
</file>

<file path=xl/ctrlProps/ctrlProp335.xml><?xml version="1.0" encoding="utf-8"?>
<formControlPr xmlns="http://schemas.microsoft.com/office/spreadsheetml/2009/9/main" objectType="CheckBox" fmlaLink="$G$455" lockText="1" noThreeD="1"/>
</file>

<file path=xl/ctrlProps/ctrlProp336.xml><?xml version="1.0" encoding="utf-8"?>
<formControlPr xmlns="http://schemas.microsoft.com/office/spreadsheetml/2009/9/main" objectType="CheckBox" fmlaLink="$G$456" lockText="1" noThreeD="1"/>
</file>

<file path=xl/ctrlProps/ctrlProp337.xml><?xml version="1.0" encoding="utf-8"?>
<formControlPr xmlns="http://schemas.microsoft.com/office/spreadsheetml/2009/9/main" objectType="CheckBox" fmlaLink="$G$458" lockText="1" noThreeD="1"/>
</file>

<file path=xl/ctrlProps/ctrlProp338.xml><?xml version="1.0" encoding="utf-8"?>
<formControlPr xmlns="http://schemas.microsoft.com/office/spreadsheetml/2009/9/main" objectType="CheckBox" fmlaLink="$G$459" lockText="1" noThreeD="1"/>
</file>

<file path=xl/ctrlProps/ctrlProp339.xml><?xml version="1.0" encoding="utf-8"?>
<formControlPr xmlns="http://schemas.microsoft.com/office/spreadsheetml/2009/9/main" objectType="CheckBox" fmlaLink="$G$460" lockText="1" noThreeD="1"/>
</file>

<file path=xl/ctrlProps/ctrlProp340.xml><?xml version="1.0" encoding="utf-8"?>
<formControlPr xmlns="http://schemas.microsoft.com/office/spreadsheetml/2009/9/main" objectType="CheckBox" fmlaLink="$G$462" lockText="1" noThreeD="1"/>
</file>

<file path=xl/ctrlProps/ctrlProp341.xml><?xml version="1.0" encoding="utf-8"?>
<formControlPr xmlns="http://schemas.microsoft.com/office/spreadsheetml/2009/9/main" objectType="CheckBox" fmlaLink="$G$463" lockText="1" noThreeD="1"/>
</file>

<file path=xl/ctrlProps/ctrlProp342.xml><?xml version="1.0" encoding="utf-8"?>
<formControlPr xmlns="http://schemas.microsoft.com/office/spreadsheetml/2009/9/main" objectType="CheckBox" fmlaLink="$G$464" lockText="1" noThreeD="1"/>
</file>

<file path=xl/ctrlProps/ctrlProp343.xml><?xml version="1.0" encoding="utf-8"?>
<formControlPr xmlns="http://schemas.microsoft.com/office/spreadsheetml/2009/9/main" objectType="CheckBox" fmlaLink="$G$466" lockText="1" noThreeD="1"/>
</file>

<file path=xl/ctrlProps/ctrlProp344.xml><?xml version="1.0" encoding="utf-8"?>
<formControlPr xmlns="http://schemas.microsoft.com/office/spreadsheetml/2009/9/main" objectType="CheckBox" fmlaLink="$G$467" lockText="1" noThreeD="1"/>
</file>

<file path=xl/ctrlProps/ctrlProp345.xml><?xml version="1.0" encoding="utf-8"?>
<formControlPr xmlns="http://schemas.microsoft.com/office/spreadsheetml/2009/9/main" objectType="CheckBox" fmlaLink="$G$468" lockText="1" noThreeD="1"/>
</file>

<file path=xl/ctrlProps/ctrlProp346.xml><?xml version="1.0" encoding="utf-8"?>
<formControlPr xmlns="http://schemas.microsoft.com/office/spreadsheetml/2009/9/main" objectType="CheckBox" fmlaLink="$G$470" lockText="1" noThreeD="1"/>
</file>

<file path=xl/ctrlProps/ctrlProp347.xml><?xml version="1.0" encoding="utf-8"?>
<formControlPr xmlns="http://schemas.microsoft.com/office/spreadsheetml/2009/9/main" objectType="CheckBox" fmlaLink="$G$471" lockText="1" noThreeD="1"/>
</file>

<file path=xl/ctrlProps/ctrlProp348.xml><?xml version="1.0" encoding="utf-8"?>
<formControlPr xmlns="http://schemas.microsoft.com/office/spreadsheetml/2009/9/main" objectType="CheckBox" fmlaLink="$G$472" lockText="1" noThreeD="1"/>
</file>

<file path=xl/ctrlProps/ctrlProp349.xml><?xml version="1.0" encoding="utf-8"?>
<formControlPr xmlns="http://schemas.microsoft.com/office/spreadsheetml/2009/9/main" objectType="CheckBox" fmlaLink="$G$474" lockText="1" noThreeD="1"/>
</file>

<file path=xl/ctrlProps/ctrlProp350.xml><?xml version="1.0" encoding="utf-8"?>
<formControlPr xmlns="http://schemas.microsoft.com/office/spreadsheetml/2009/9/main" objectType="CheckBox" fmlaLink="$G$475" lockText="1" noThreeD="1"/>
</file>

<file path=xl/ctrlProps/ctrlProp351.xml><?xml version="1.0" encoding="utf-8"?>
<formControlPr xmlns="http://schemas.microsoft.com/office/spreadsheetml/2009/9/main" objectType="CheckBox" fmlaLink="$G$476" lockText="1" noThreeD="1"/>
</file>

<file path=xl/ctrlProps/ctrlProp352.xml><?xml version="1.0" encoding="utf-8"?>
<formControlPr xmlns="http://schemas.microsoft.com/office/spreadsheetml/2009/9/main" objectType="CheckBox" fmlaLink="$G$478" lockText="1" noThreeD="1"/>
</file>

<file path=xl/ctrlProps/ctrlProp353.xml><?xml version="1.0" encoding="utf-8"?>
<formControlPr xmlns="http://schemas.microsoft.com/office/spreadsheetml/2009/9/main" objectType="CheckBox" fmlaLink="$G$479" lockText="1" noThreeD="1"/>
</file>

<file path=xl/ctrlProps/ctrlProp354.xml><?xml version="1.0" encoding="utf-8"?>
<formControlPr xmlns="http://schemas.microsoft.com/office/spreadsheetml/2009/9/main" objectType="CheckBox" fmlaLink="$G$480" lockText="1" noThreeD="1"/>
</file>

<file path=xl/ctrlProps/ctrlProp355.xml><?xml version="1.0" encoding="utf-8"?>
<formControlPr xmlns="http://schemas.microsoft.com/office/spreadsheetml/2009/9/main" objectType="CheckBox" fmlaLink="$G$482" lockText="1" noThreeD="1"/>
</file>

<file path=xl/ctrlProps/ctrlProp356.xml><?xml version="1.0" encoding="utf-8"?>
<formControlPr xmlns="http://schemas.microsoft.com/office/spreadsheetml/2009/9/main" objectType="CheckBox" fmlaLink="$G$483" lockText="1" noThreeD="1"/>
</file>

<file path=xl/ctrlProps/ctrlProp357.xml><?xml version="1.0" encoding="utf-8"?>
<formControlPr xmlns="http://schemas.microsoft.com/office/spreadsheetml/2009/9/main" objectType="CheckBox" fmlaLink="$G$484" lockText="1" noThreeD="1"/>
</file>

<file path=xl/ctrlProps/ctrlProp358.xml><?xml version="1.0" encoding="utf-8"?>
<formControlPr xmlns="http://schemas.microsoft.com/office/spreadsheetml/2009/9/main" objectType="CheckBox" fmlaLink="$G$486" lockText="1" noThreeD="1"/>
</file>

<file path=xl/ctrlProps/ctrlProp359.xml><?xml version="1.0" encoding="utf-8"?>
<formControlPr xmlns="http://schemas.microsoft.com/office/spreadsheetml/2009/9/main" objectType="CheckBox" fmlaLink="$G$488" lockText="1" noThreeD="1"/>
</file>

<file path=xl/ctrlProps/ctrlProp360.xml><?xml version="1.0" encoding="utf-8"?>
<formControlPr xmlns="http://schemas.microsoft.com/office/spreadsheetml/2009/9/main" objectType="CheckBox" fmlaLink="$G$490" lockText="1" noThreeD="1"/>
</file>

<file path=xl/ctrlProps/ctrlProp361.xml><?xml version="1.0" encoding="utf-8"?>
<formControlPr xmlns="http://schemas.microsoft.com/office/spreadsheetml/2009/9/main" objectType="CheckBox" fmlaLink="$G$491" lockText="1" noThreeD="1"/>
</file>

<file path=xl/ctrlProps/ctrlProp362.xml><?xml version="1.0" encoding="utf-8"?>
<formControlPr xmlns="http://schemas.microsoft.com/office/spreadsheetml/2009/9/main" objectType="CheckBox" fmlaLink="$G$492" lockText="1" noThreeD="1"/>
</file>

<file path=xl/ctrlProps/ctrlProp363.xml><?xml version="1.0" encoding="utf-8"?>
<formControlPr xmlns="http://schemas.microsoft.com/office/spreadsheetml/2009/9/main" objectType="CheckBox" fmlaLink="$G$494" lockText="1" noThreeD="1"/>
</file>

<file path=xl/ctrlProps/ctrlProp364.xml><?xml version="1.0" encoding="utf-8"?>
<formControlPr xmlns="http://schemas.microsoft.com/office/spreadsheetml/2009/9/main" objectType="CheckBox" fmlaLink="$G$495" lockText="1" noThreeD="1"/>
</file>

<file path=xl/ctrlProps/ctrlProp365.xml><?xml version="1.0" encoding="utf-8"?>
<formControlPr xmlns="http://schemas.microsoft.com/office/spreadsheetml/2009/9/main" objectType="CheckBox" fmlaLink="$G$496" lockText="1" noThreeD="1"/>
</file>

<file path=xl/ctrlProps/ctrlProp366.xml><?xml version="1.0" encoding="utf-8"?>
<formControlPr xmlns="http://schemas.microsoft.com/office/spreadsheetml/2009/9/main" objectType="CheckBox" fmlaLink="$G$498" lockText="1" noThreeD="1"/>
</file>

<file path=xl/ctrlProps/ctrlProp367.xml><?xml version="1.0" encoding="utf-8"?>
<formControlPr xmlns="http://schemas.microsoft.com/office/spreadsheetml/2009/9/main" objectType="CheckBox" fmlaLink="$G$499" lockText="1" noThreeD="1"/>
</file>

<file path=xl/ctrlProps/ctrlProp368.xml><?xml version="1.0" encoding="utf-8"?>
<formControlPr xmlns="http://schemas.microsoft.com/office/spreadsheetml/2009/9/main" objectType="CheckBox" fmlaLink="$G$500" lockText="1" noThreeD="1"/>
</file>

<file path=xl/ctrlProps/ctrlProp369.xml><?xml version="1.0" encoding="utf-8"?>
<formControlPr xmlns="http://schemas.microsoft.com/office/spreadsheetml/2009/9/main" objectType="CheckBox" fmlaLink="$G$502" lockText="1" noThreeD="1"/>
</file>

<file path=xl/ctrlProps/ctrlProp370.xml><?xml version="1.0" encoding="utf-8"?>
<formControlPr xmlns="http://schemas.microsoft.com/office/spreadsheetml/2009/9/main" objectType="CheckBox" fmlaLink="$G$503" lockText="1" noThreeD="1"/>
</file>

<file path=xl/ctrlProps/ctrlProp371.xml><?xml version="1.0" encoding="utf-8"?>
<formControlPr xmlns="http://schemas.microsoft.com/office/spreadsheetml/2009/9/main" objectType="CheckBox" fmlaLink="$G$504" lockText="1" noThreeD="1"/>
</file>

<file path=xl/ctrlProps/ctrlProp372.xml><?xml version="1.0" encoding="utf-8"?>
<formControlPr xmlns="http://schemas.microsoft.com/office/spreadsheetml/2009/9/main" objectType="CheckBox" fmlaLink="$G$506" lockText="1" noThreeD="1"/>
</file>

<file path=xl/ctrlProps/ctrlProp373.xml><?xml version="1.0" encoding="utf-8"?>
<formControlPr xmlns="http://schemas.microsoft.com/office/spreadsheetml/2009/9/main" objectType="CheckBox" fmlaLink="$G$507" lockText="1" noThreeD="1"/>
</file>

<file path=xl/ctrlProps/ctrlProp374.xml><?xml version="1.0" encoding="utf-8"?>
<formControlPr xmlns="http://schemas.microsoft.com/office/spreadsheetml/2009/9/main" objectType="CheckBox" fmlaLink="$G$508" lockText="1" noThreeD="1"/>
</file>

<file path=xl/ctrlProps/ctrlProp375.xml><?xml version="1.0" encoding="utf-8"?>
<formControlPr xmlns="http://schemas.microsoft.com/office/spreadsheetml/2009/9/main" objectType="CheckBox" fmlaLink="$G$510" lockText="1" noThreeD="1"/>
</file>

<file path=xl/ctrlProps/ctrlProp376.xml><?xml version="1.0" encoding="utf-8"?>
<formControlPr xmlns="http://schemas.microsoft.com/office/spreadsheetml/2009/9/main" objectType="CheckBox" fmlaLink="$G$511" lockText="1" noThreeD="1"/>
</file>

<file path=xl/ctrlProps/ctrlProp377.xml><?xml version="1.0" encoding="utf-8"?>
<formControlPr xmlns="http://schemas.microsoft.com/office/spreadsheetml/2009/9/main" objectType="CheckBox" fmlaLink="$G$512" lockText="1" noThreeD="1"/>
</file>

<file path=xl/ctrlProps/ctrlProp378.xml><?xml version="1.0" encoding="utf-8"?>
<formControlPr xmlns="http://schemas.microsoft.com/office/spreadsheetml/2009/9/main" objectType="CheckBox" fmlaLink="$G$514" lockText="1" noThreeD="1"/>
</file>

<file path=xl/ctrlProps/ctrlProp379.xml><?xml version="1.0" encoding="utf-8"?>
<formControlPr xmlns="http://schemas.microsoft.com/office/spreadsheetml/2009/9/main" objectType="CheckBox" fmlaLink="$G$515" lockText="1" noThreeD="1"/>
</file>

<file path=xl/ctrlProps/ctrlProp380.xml><?xml version="1.0" encoding="utf-8"?>
<formControlPr xmlns="http://schemas.microsoft.com/office/spreadsheetml/2009/9/main" objectType="CheckBox" fmlaLink="$G$516" lockText="1" noThreeD="1"/>
</file>

<file path=xl/ctrlProps/ctrlProp381.xml><?xml version="1.0" encoding="utf-8"?>
<formControlPr xmlns="http://schemas.microsoft.com/office/spreadsheetml/2009/9/main" objectType="CheckBox" fmlaLink="$G$518" lockText="1" noThreeD="1"/>
</file>

<file path=xl/ctrlProps/ctrlProp382.xml><?xml version="1.0" encoding="utf-8"?>
<formControlPr xmlns="http://schemas.microsoft.com/office/spreadsheetml/2009/9/main" objectType="CheckBox" fmlaLink="$G$519" lockText="1" noThreeD="1"/>
</file>

<file path=xl/ctrlProps/ctrlProp383.xml><?xml version="1.0" encoding="utf-8"?>
<formControlPr xmlns="http://schemas.microsoft.com/office/spreadsheetml/2009/9/main" objectType="CheckBox" fmlaLink="$G$520" lockText="1" noThreeD="1"/>
</file>

<file path=xl/ctrlProps/ctrlProp384.xml><?xml version="1.0" encoding="utf-8"?>
<formControlPr xmlns="http://schemas.microsoft.com/office/spreadsheetml/2009/9/main" objectType="CheckBox" fmlaLink="$G$522" lockText="1" noThreeD="1"/>
</file>

<file path=xl/ctrlProps/ctrlProp385.xml><?xml version="1.0" encoding="utf-8"?>
<formControlPr xmlns="http://schemas.microsoft.com/office/spreadsheetml/2009/9/main" objectType="CheckBox" fmlaLink="$G$523" lockText="1" noThreeD="1"/>
</file>

<file path=xl/ctrlProps/ctrlProp386.xml><?xml version="1.0" encoding="utf-8"?>
<formControlPr xmlns="http://schemas.microsoft.com/office/spreadsheetml/2009/9/main" objectType="CheckBox" fmlaLink="$G$524" lockText="1" noThreeD="1"/>
</file>

<file path=xl/ctrlProps/ctrlProp387.xml><?xml version="1.0" encoding="utf-8"?>
<formControlPr xmlns="http://schemas.microsoft.com/office/spreadsheetml/2009/9/main" objectType="CheckBox" fmlaLink="$G$526" lockText="1" noThreeD="1"/>
</file>

<file path=xl/ctrlProps/ctrlProp388.xml><?xml version="1.0" encoding="utf-8"?>
<formControlPr xmlns="http://schemas.microsoft.com/office/spreadsheetml/2009/9/main" objectType="CheckBox" fmlaLink="$G$527" lockText="1" noThreeD="1"/>
</file>

<file path=xl/ctrlProps/ctrlProp389.xml><?xml version="1.0" encoding="utf-8"?>
<formControlPr xmlns="http://schemas.microsoft.com/office/spreadsheetml/2009/9/main" objectType="CheckBox" fmlaLink="$G$528" lockText="1" noThreeD="1"/>
</file>

<file path=xl/ctrlProps/ctrlProp390.xml><?xml version="1.0" encoding="utf-8"?>
<formControlPr xmlns="http://schemas.microsoft.com/office/spreadsheetml/2009/9/main" objectType="CheckBox" fmlaLink="$G$530" lockText="1" noThreeD="1"/>
</file>

<file path=xl/ctrlProps/ctrlProp391.xml><?xml version="1.0" encoding="utf-8"?>
<formControlPr xmlns="http://schemas.microsoft.com/office/spreadsheetml/2009/9/main" objectType="CheckBox" fmlaLink="$G$531" lockText="1" noThreeD="1"/>
</file>

<file path=xl/ctrlProps/ctrlProp392.xml><?xml version="1.0" encoding="utf-8"?>
<formControlPr xmlns="http://schemas.microsoft.com/office/spreadsheetml/2009/9/main" objectType="CheckBox" fmlaLink="$G$532" lockText="1" noThreeD="1"/>
</file>

<file path=xl/ctrlProps/ctrlProp393.xml><?xml version="1.0" encoding="utf-8"?>
<formControlPr xmlns="http://schemas.microsoft.com/office/spreadsheetml/2009/9/main" objectType="CheckBox" fmlaLink="$G$534" lockText="1" noThreeD="1"/>
</file>

<file path=xl/ctrlProps/ctrlProp394.xml><?xml version="1.0" encoding="utf-8"?>
<formControlPr xmlns="http://schemas.microsoft.com/office/spreadsheetml/2009/9/main" objectType="CheckBox" fmlaLink="$G$535" lockText="1" noThreeD="1"/>
</file>

<file path=xl/ctrlProps/ctrlProp395.xml><?xml version="1.0" encoding="utf-8"?>
<formControlPr xmlns="http://schemas.microsoft.com/office/spreadsheetml/2009/9/main" objectType="CheckBox" fmlaLink="$G$536" lockText="1" noThreeD="1"/>
</file>

<file path=xl/ctrlProps/ctrlProp396.xml><?xml version="1.0" encoding="utf-8"?>
<formControlPr xmlns="http://schemas.microsoft.com/office/spreadsheetml/2009/9/main" objectType="CheckBox" fmlaLink="$G$538" lockText="1" noThreeD="1"/>
</file>

<file path=xl/ctrlProps/ctrlProp397.xml><?xml version="1.0" encoding="utf-8"?>
<formControlPr xmlns="http://schemas.microsoft.com/office/spreadsheetml/2009/9/main" objectType="CheckBox" fmlaLink="$G$539" lockText="1" noThreeD="1"/>
</file>

<file path=xl/ctrlProps/ctrlProp398.xml><?xml version="1.0" encoding="utf-8"?>
<formControlPr xmlns="http://schemas.microsoft.com/office/spreadsheetml/2009/9/main" objectType="CheckBox" fmlaLink="$G$540" lockText="1" noThreeD="1"/>
</file>

<file path=xl/ctrlProps/ctrlProp399.xml><?xml version="1.0" encoding="utf-8"?>
<formControlPr xmlns="http://schemas.microsoft.com/office/spreadsheetml/2009/9/main" objectType="CheckBox" fmlaLink="$G$542" lockText="1" noThreeD="1"/>
</file>

<file path=xl/ctrlProps/ctrlProp400.xml><?xml version="1.0" encoding="utf-8"?>
<formControlPr xmlns="http://schemas.microsoft.com/office/spreadsheetml/2009/9/main" objectType="CheckBox" fmlaLink="$G$543" lockText="1" noThreeD="1"/>
</file>

<file path=xl/ctrlProps/ctrlProp401.xml><?xml version="1.0" encoding="utf-8"?>
<formControlPr xmlns="http://schemas.microsoft.com/office/spreadsheetml/2009/9/main" objectType="CheckBox" fmlaLink="$G$544" lockText="1" noThreeD="1"/>
</file>

<file path=xl/ctrlProps/ctrlProp402.xml><?xml version="1.0" encoding="utf-8"?>
<formControlPr xmlns="http://schemas.microsoft.com/office/spreadsheetml/2009/9/main" objectType="CheckBox" fmlaLink="$G$546" lockText="1" noThreeD="1"/>
</file>

<file path=xl/ctrlProps/ctrlProp403.xml><?xml version="1.0" encoding="utf-8"?>
<formControlPr xmlns="http://schemas.microsoft.com/office/spreadsheetml/2009/9/main" objectType="CheckBox" fmlaLink="$G$547" lockText="1" noThreeD="1"/>
</file>

<file path=xl/ctrlProps/ctrlProp404.xml><?xml version="1.0" encoding="utf-8"?>
<formControlPr xmlns="http://schemas.microsoft.com/office/spreadsheetml/2009/9/main" objectType="CheckBox" fmlaLink="$G$548" lockText="1" noThreeD="1"/>
</file>

<file path=xl/ctrlProps/ctrlProp405.xml><?xml version="1.0" encoding="utf-8"?>
<formControlPr xmlns="http://schemas.microsoft.com/office/spreadsheetml/2009/9/main" objectType="CheckBox" fmlaLink="$G$550" lockText="1" noThreeD="1"/>
</file>

<file path=xl/ctrlProps/ctrlProp406.xml><?xml version="1.0" encoding="utf-8"?>
<formControlPr xmlns="http://schemas.microsoft.com/office/spreadsheetml/2009/9/main" objectType="CheckBox" fmlaLink="$G$551" lockText="1" noThreeD="1"/>
</file>

<file path=xl/ctrlProps/ctrlProp407.xml><?xml version="1.0" encoding="utf-8"?>
<formControlPr xmlns="http://schemas.microsoft.com/office/spreadsheetml/2009/9/main" objectType="CheckBox" fmlaLink="$G$552" lockText="1" noThreeD="1"/>
</file>

<file path=xl/ctrlProps/ctrlProp408.xml><?xml version="1.0" encoding="utf-8"?>
<formControlPr xmlns="http://schemas.microsoft.com/office/spreadsheetml/2009/9/main" objectType="CheckBox" fmlaLink="$G$554" lockText="1" noThreeD="1"/>
</file>

<file path=xl/ctrlProps/ctrlProp409.xml><?xml version="1.0" encoding="utf-8"?>
<formControlPr xmlns="http://schemas.microsoft.com/office/spreadsheetml/2009/9/main" objectType="CheckBox" fmlaLink="$G$555" lockText="1" noThreeD="1"/>
</file>

<file path=xl/ctrlProps/ctrlProp410.xml><?xml version="1.0" encoding="utf-8"?>
<formControlPr xmlns="http://schemas.microsoft.com/office/spreadsheetml/2009/9/main" objectType="CheckBox" fmlaLink="$G$556" lockText="1" noThreeD="1"/>
</file>

<file path=xl/ctrlProps/ctrlProp411.xml><?xml version="1.0" encoding="utf-8"?>
<formControlPr xmlns="http://schemas.microsoft.com/office/spreadsheetml/2009/9/main" objectType="CheckBox" fmlaLink="$G$558" lockText="1" noThreeD="1"/>
</file>

<file path=xl/ctrlProps/ctrlProp412.xml><?xml version="1.0" encoding="utf-8"?>
<formControlPr xmlns="http://schemas.microsoft.com/office/spreadsheetml/2009/9/main" objectType="CheckBox" fmlaLink="$G$559" lockText="1" noThreeD="1"/>
</file>

<file path=xl/ctrlProps/ctrlProp413.xml><?xml version="1.0" encoding="utf-8"?>
<formControlPr xmlns="http://schemas.microsoft.com/office/spreadsheetml/2009/9/main" objectType="CheckBox" fmlaLink="$G$560" lockText="1" noThreeD="1"/>
</file>

<file path=xl/ctrlProps/ctrlProp414.xml><?xml version="1.0" encoding="utf-8"?>
<formControlPr xmlns="http://schemas.microsoft.com/office/spreadsheetml/2009/9/main" objectType="CheckBox" fmlaLink="$G$562" lockText="1" noThreeD="1"/>
</file>

<file path=xl/ctrlProps/ctrlProp415.xml><?xml version="1.0" encoding="utf-8"?>
<formControlPr xmlns="http://schemas.microsoft.com/office/spreadsheetml/2009/9/main" objectType="CheckBox" fmlaLink="$G$563" lockText="1" noThreeD="1"/>
</file>

<file path=xl/ctrlProps/ctrlProp416.xml><?xml version="1.0" encoding="utf-8"?>
<formControlPr xmlns="http://schemas.microsoft.com/office/spreadsheetml/2009/9/main" objectType="CheckBox" fmlaLink="$G$564" lockText="1" noThreeD="1"/>
</file>

<file path=xl/ctrlProps/ctrlProp417.xml><?xml version="1.0" encoding="utf-8"?>
<formControlPr xmlns="http://schemas.microsoft.com/office/spreadsheetml/2009/9/main" objectType="CheckBox" fmlaLink="$G$566" lockText="1" noThreeD="1"/>
</file>

<file path=xl/ctrlProps/ctrlProp418.xml><?xml version="1.0" encoding="utf-8"?>
<formControlPr xmlns="http://schemas.microsoft.com/office/spreadsheetml/2009/9/main" objectType="CheckBox" fmlaLink="$G$567" lockText="1" noThreeD="1"/>
</file>

<file path=xl/ctrlProps/ctrlProp419.xml><?xml version="1.0" encoding="utf-8"?>
<formControlPr xmlns="http://schemas.microsoft.com/office/spreadsheetml/2009/9/main" objectType="CheckBox" fmlaLink="$G$568" lockText="1" noThreeD="1"/>
</file>

<file path=xl/ctrlProps/ctrlProp420.xml><?xml version="1.0" encoding="utf-8"?>
<formControlPr xmlns="http://schemas.microsoft.com/office/spreadsheetml/2009/9/main" objectType="CheckBox" fmlaLink="$G$570" lockText="1" noThreeD="1"/>
</file>

<file path=xl/ctrlProps/ctrlProp421.xml><?xml version="1.0" encoding="utf-8"?>
<formControlPr xmlns="http://schemas.microsoft.com/office/spreadsheetml/2009/9/main" objectType="CheckBox" fmlaLink="$G$571" lockText="1" noThreeD="1"/>
</file>

<file path=xl/ctrlProps/ctrlProp422.xml><?xml version="1.0" encoding="utf-8"?>
<formControlPr xmlns="http://schemas.microsoft.com/office/spreadsheetml/2009/9/main" objectType="CheckBox" fmlaLink="$G$572" lockText="1" noThreeD="1"/>
</file>

<file path=xl/ctrlProps/ctrlProp423.xml><?xml version="1.0" encoding="utf-8"?>
<formControlPr xmlns="http://schemas.microsoft.com/office/spreadsheetml/2009/9/main" objectType="CheckBox" fmlaLink="$G$574" lockText="1" noThreeD="1"/>
</file>

<file path=xl/ctrlProps/ctrlProp424.xml><?xml version="1.0" encoding="utf-8"?>
<formControlPr xmlns="http://schemas.microsoft.com/office/spreadsheetml/2009/9/main" objectType="CheckBox" fmlaLink="$G$575" lockText="1" noThreeD="1"/>
</file>

<file path=xl/ctrlProps/ctrlProp425.xml><?xml version="1.0" encoding="utf-8"?>
<formControlPr xmlns="http://schemas.microsoft.com/office/spreadsheetml/2009/9/main" objectType="CheckBox" fmlaLink="$G$576" lockText="1" noThreeD="1"/>
</file>

<file path=xl/ctrlProps/ctrlProp426.xml><?xml version="1.0" encoding="utf-8"?>
<formControlPr xmlns="http://schemas.microsoft.com/office/spreadsheetml/2009/9/main" objectType="CheckBox" fmlaLink="$G$578" lockText="1" noThreeD="1"/>
</file>

<file path=xl/ctrlProps/ctrlProp427.xml><?xml version="1.0" encoding="utf-8"?>
<formControlPr xmlns="http://schemas.microsoft.com/office/spreadsheetml/2009/9/main" objectType="CheckBox" fmlaLink="$G$579" lockText="1" noThreeD="1"/>
</file>

<file path=xl/ctrlProps/ctrlProp428.xml><?xml version="1.0" encoding="utf-8"?>
<formControlPr xmlns="http://schemas.microsoft.com/office/spreadsheetml/2009/9/main" objectType="CheckBox" fmlaLink="$G$580" lockText="1" noThreeD="1"/>
</file>

<file path=xl/ctrlProps/ctrlProp429.xml><?xml version="1.0" encoding="utf-8"?>
<formControlPr xmlns="http://schemas.microsoft.com/office/spreadsheetml/2009/9/main" objectType="CheckBox" fmlaLink="$G$582" lockText="1" noThreeD="1"/>
</file>

<file path=xl/ctrlProps/ctrlProp430.xml><?xml version="1.0" encoding="utf-8"?>
<formControlPr xmlns="http://schemas.microsoft.com/office/spreadsheetml/2009/9/main" objectType="CheckBox" fmlaLink="$G$583" lockText="1" noThreeD="1"/>
</file>

<file path=xl/ctrlProps/ctrlProp431.xml><?xml version="1.0" encoding="utf-8"?>
<formControlPr xmlns="http://schemas.microsoft.com/office/spreadsheetml/2009/9/main" objectType="CheckBox" fmlaLink="$G$584" lockText="1" noThreeD="1"/>
</file>

<file path=xl/ctrlProps/ctrlProp432.xml><?xml version="1.0" encoding="utf-8"?>
<formControlPr xmlns="http://schemas.microsoft.com/office/spreadsheetml/2009/9/main" objectType="CheckBox" fmlaLink="$G$586" lockText="1" noThreeD="1"/>
</file>

<file path=xl/ctrlProps/ctrlProp433.xml><?xml version="1.0" encoding="utf-8"?>
<formControlPr xmlns="http://schemas.microsoft.com/office/spreadsheetml/2009/9/main" objectType="CheckBox" fmlaLink="$G$587" lockText="1" noThreeD="1"/>
</file>

<file path=xl/ctrlProps/ctrlProp434.xml><?xml version="1.0" encoding="utf-8"?>
<formControlPr xmlns="http://schemas.microsoft.com/office/spreadsheetml/2009/9/main" objectType="CheckBox" fmlaLink="$G$588" lockText="1" noThreeD="1"/>
</file>

<file path=xl/ctrlProps/ctrlProp435.xml><?xml version="1.0" encoding="utf-8"?>
<formControlPr xmlns="http://schemas.microsoft.com/office/spreadsheetml/2009/9/main" objectType="CheckBox" fmlaLink="$G$590" lockText="1" noThreeD="1"/>
</file>

<file path=xl/ctrlProps/ctrlProp436.xml><?xml version="1.0" encoding="utf-8"?>
<formControlPr xmlns="http://schemas.microsoft.com/office/spreadsheetml/2009/9/main" objectType="CheckBox" fmlaLink="$G$591" lockText="1" noThreeD="1"/>
</file>

<file path=xl/ctrlProps/ctrlProp437.xml><?xml version="1.0" encoding="utf-8"?>
<formControlPr xmlns="http://schemas.microsoft.com/office/spreadsheetml/2009/9/main" objectType="CheckBox" fmlaLink="$G$592" lockText="1" noThreeD="1"/>
</file>

<file path=xl/ctrlProps/ctrlProp438.xml><?xml version="1.0" encoding="utf-8"?>
<formControlPr xmlns="http://schemas.microsoft.com/office/spreadsheetml/2009/9/main" objectType="CheckBox" fmlaLink="$G$594" lockText="1" noThreeD="1"/>
</file>

<file path=xl/ctrlProps/ctrlProp439.xml><?xml version="1.0" encoding="utf-8"?>
<formControlPr xmlns="http://schemas.microsoft.com/office/spreadsheetml/2009/9/main" objectType="CheckBox" fmlaLink="$G$595" lockText="1" noThreeD="1"/>
</file>

<file path=xl/ctrlProps/ctrlProp440.xml><?xml version="1.0" encoding="utf-8"?>
<formControlPr xmlns="http://schemas.microsoft.com/office/spreadsheetml/2009/9/main" objectType="CheckBox" fmlaLink="$G$596" lockText="1" noThreeD="1"/>
</file>

<file path=xl/ctrlProps/ctrlProp441.xml><?xml version="1.0" encoding="utf-8"?>
<formControlPr xmlns="http://schemas.microsoft.com/office/spreadsheetml/2009/9/main" objectType="CheckBox" fmlaLink="$G$598" lockText="1" noThreeD="1"/>
</file>

<file path=xl/ctrlProps/ctrlProp442.xml><?xml version="1.0" encoding="utf-8"?>
<formControlPr xmlns="http://schemas.microsoft.com/office/spreadsheetml/2009/9/main" objectType="CheckBox" fmlaLink="$G$599" lockText="1" noThreeD="1"/>
</file>

<file path=xl/ctrlProps/ctrlProp443.xml><?xml version="1.0" encoding="utf-8"?>
<formControlPr xmlns="http://schemas.microsoft.com/office/spreadsheetml/2009/9/main" objectType="CheckBox" fmlaLink="$G$600" lockText="1" noThreeD="1"/>
</file>

<file path=xl/ctrlProps/ctrlProp444.xml><?xml version="1.0" encoding="utf-8"?>
<formControlPr xmlns="http://schemas.microsoft.com/office/spreadsheetml/2009/9/main" objectType="CheckBox" fmlaLink="$G$602" lockText="1" noThreeD="1"/>
</file>

<file path=xl/ctrlProps/ctrlProp445.xml><?xml version="1.0" encoding="utf-8"?>
<formControlPr xmlns="http://schemas.microsoft.com/office/spreadsheetml/2009/9/main" objectType="CheckBox" fmlaLink="$G$603" lockText="1" noThreeD="1"/>
</file>

<file path=xl/ctrlProps/ctrlProp446.xml><?xml version="1.0" encoding="utf-8"?>
<formControlPr xmlns="http://schemas.microsoft.com/office/spreadsheetml/2009/9/main" objectType="CheckBox" fmlaLink="$G$604" lockText="1" noThreeD="1"/>
</file>

<file path=xl/ctrlProps/ctrlProp447.xml><?xml version="1.0" encoding="utf-8"?>
<formControlPr xmlns="http://schemas.microsoft.com/office/spreadsheetml/2009/9/main" objectType="CheckBox" fmlaLink="$G$606" lockText="1" noThreeD="1"/>
</file>

<file path=xl/ctrlProps/ctrlProp448.xml><?xml version="1.0" encoding="utf-8"?>
<formControlPr xmlns="http://schemas.microsoft.com/office/spreadsheetml/2009/9/main" objectType="CheckBox" fmlaLink="$G$607" lockText="1" noThreeD="1"/>
</file>

<file path=xl/ctrlProps/ctrlProp449.xml><?xml version="1.0" encoding="utf-8"?>
<formControlPr xmlns="http://schemas.microsoft.com/office/spreadsheetml/2009/9/main" objectType="CheckBox" fmlaLink="$G$608" lockText="1" noThreeD="1"/>
</file>

<file path=xl/ctrlProps/ctrlProp450.xml><?xml version="1.0" encoding="utf-8"?>
<formControlPr xmlns="http://schemas.microsoft.com/office/spreadsheetml/2009/9/main" objectType="CheckBox" fmlaLink="$G$611" lockText="1" noThreeD="1"/>
</file>

<file path=xl/ctrlProps/ctrlProp451.xml><?xml version="1.0" encoding="utf-8"?>
<formControlPr xmlns="http://schemas.microsoft.com/office/spreadsheetml/2009/9/main" objectType="CheckBox" fmlaLink="$G$612" lockText="1" noThreeD="1"/>
</file>

<file path=xl/ctrlProps/ctrlProp452.xml><?xml version="1.0" encoding="utf-8"?>
<formControlPr xmlns="http://schemas.microsoft.com/office/spreadsheetml/2009/9/main" objectType="CheckBox" fmlaLink="$G$618" lockText="1" noThreeD="1"/>
</file>

<file path=xl/ctrlProps/ctrlProp453.xml><?xml version="1.0" encoding="utf-8"?>
<formControlPr xmlns="http://schemas.microsoft.com/office/spreadsheetml/2009/9/main" objectType="CheckBox" fmlaLink="$G$619" lockText="1" noThreeD="1"/>
</file>

<file path=xl/ctrlProps/ctrlProp454.xml><?xml version="1.0" encoding="utf-8"?>
<formControlPr xmlns="http://schemas.microsoft.com/office/spreadsheetml/2009/9/main" objectType="CheckBox" fmlaLink="$G$620" lockText="1" noThreeD="1"/>
</file>

<file path=xl/ctrlProps/ctrlProp455.xml><?xml version="1.0" encoding="utf-8"?>
<formControlPr xmlns="http://schemas.microsoft.com/office/spreadsheetml/2009/9/main" objectType="CheckBox" fmlaLink="$G$622" lockText="1" noThreeD="1"/>
</file>

<file path=xl/ctrlProps/ctrlProp456.xml><?xml version="1.0" encoding="utf-8"?>
<formControlPr xmlns="http://schemas.microsoft.com/office/spreadsheetml/2009/9/main" objectType="CheckBox" fmlaLink="$G$623" lockText="1" noThreeD="1"/>
</file>

<file path=xl/ctrlProps/ctrlProp457.xml><?xml version="1.0" encoding="utf-8"?>
<formControlPr xmlns="http://schemas.microsoft.com/office/spreadsheetml/2009/9/main" objectType="CheckBox" fmlaLink="$G$624" lockText="1" noThreeD="1"/>
</file>

<file path=xl/ctrlProps/ctrlProp458.xml><?xml version="1.0" encoding="utf-8"?>
<formControlPr xmlns="http://schemas.microsoft.com/office/spreadsheetml/2009/9/main" objectType="CheckBox" fmlaLink="$G$626" lockText="1" noThreeD="1"/>
</file>

<file path=xl/ctrlProps/ctrlProp459.xml><?xml version="1.0" encoding="utf-8"?>
<formControlPr xmlns="http://schemas.microsoft.com/office/spreadsheetml/2009/9/main" objectType="CheckBox" fmlaLink="$G$627" lockText="1" noThreeD="1"/>
</file>

<file path=xl/ctrlProps/ctrlProp460.xml><?xml version="1.0" encoding="utf-8"?>
<formControlPr xmlns="http://schemas.microsoft.com/office/spreadsheetml/2009/9/main" objectType="CheckBox" fmlaLink="$G$628" lockText="1" noThreeD="1"/>
</file>

<file path=xl/ctrlProps/ctrlProp461.xml><?xml version="1.0" encoding="utf-8"?>
<formControlPr xmlns="http://schemas.microsoft.com/office/spreadsheetml/2009/9/main" objectType="CheckBox" fmlaLink="$G$630" lockText="1" noThreeD="1"/>
</file>

<file path=xl/ctrlProps/ctrlProp462.xml><?xml version="1.0" encoding="utf-8"?>
<formControlPr xmlns="http://schemas.microsoft.com/office/spreadsheetml/2009/9/main" objectType="CheckBox" fmlaLink="$G$631" lockText="1" noThreeD="1"/>
</file>

<file path=xl/ctrlProps/ctrlProp463.xml><?xml version="1.0" encoding="utf-8"?>
<formControlPr xmlns="http://schemas.microsoft.com/office/spreadsheetml/2009/9/main" objectType="CheckBox" fmlaLink="$G$632" lockText="1" noThreeD="1"/>
</file>

<file path=xl/ctrlProps/ctrlProp464.xml><?xml version="1.0" encoding="utf-8"?>
<formControlPr xmlns="http://schemas.microsoft.com/office/spreadsheetml/2009/9/main" objectType="CheckBox" fmlaLink="$G$634" lockText="1" noThreeD="1"/>
</file>

<file path=xl/ctrlProps/ctrlProp465.xml><?xml version="1.0" encoding="utf-8"?>
<formControlPr xmlns="http://schemas.microsoft.com/office/spreadsheetml/2009/9/main" objectType="CheckBox" fmlaLink="$G$635" lockText="1" noThreeD="1"/>
</file>

<file path=xl/ctrlProps/ctrlProp466.xml><?xml version="1.0" encoding="utf-8"?>
<formControlPr xmlns="http://schemas.microsoft.com/office/spreadsheetml/2009/9/main" objectType="CheckBox" fmlaLink="$G$636" lockText="1" noThreeD="1"/>
</file>

<file path=xl/ctrlProps/ctrlProp467.xml><?xml version="1.0" encoding="utf-8"?>
<formControlPr xmlns="http://schemas.microsoft.com/office/spreadsheetml/2009/9/main" objectType="CheckBox" fmlaLink="$G$638" lockText="1" noThreeD="1"/>
</file>

<file path=xl/ctrlProps/ctrlProp468.xml><?xml version="1.0" encoding="utf-8"?>
<formControlPr xmlns="http://schemas.microsoft.com/office/spreadsheetml/2009/9/main" objectType="CheckBox" fmlaLink="$G$639" lockText="1" noThreeD="1"/>
</file>

<file path=xl/ctrlProps/ctrlProp469.xml><?xml version="1.0" encoding="utf-8"?>
<formControlPr xmlns="http://schemas.microsoft.com/office/spreadsheetml/2009/9/main" objectType="CheckBox" fmlaLink="$G$640" lockText="1" noThreeD="1"/>
</file>

<file path=xl/ctrlProps/ctrlProp470.xml><?xml version="1.0" encoding="utf-8"?>
<formControlPr xmlns="http://schemas.microsoft.com/office/spreadsheetml/2009/9/main" objectType="CheckBox" fmlaLink="$G$642" lockText="1" noThreeD="1"/>
</file>

<file path=xl/ctrlProps/ctrlProp471.xml><?xml version="1.0" encoding="utf-8"?>
<formControlPr xmlns="http://schemas.microsoft.com/office/spreadsheetml/2009/9/main" objectType="CheckBox" fmlaLink="$G$643" lockText="1" noThreeD="1"/>
</file>

<file path=xl/ctrlProps/ctrlProp472.xml><?xml version="1.0" encoding="utf-8"?>
<formControlPr xmlns="http://schemas.microsoft.com/office/spreadsheetml/2009/9/main" objectType="CheckBox" fmlaLink="$G$644" lockText="1" noThreeD="1"/>
</file>

<file path=xl/ctrlProps/ctrlProp473.xml><?xml version="1.0" encoding="utf-8"?>
<formControlPr xmlns="http://schemas.microsoft.com/office/spreadsheetml/2009/9/main" objectType="CheckBox" fmlaLink="$G$646" lockText="1" noThreeD="1"/>
</file>

<file path=xl/ctrlProps/ctrlProp474.xml><?xml version="1.0" encoding="utf-8"?>
<formControlPr xmlns="http://schemas.microsoft.com/office/spreadsheetml/2009/9/main" objectType="CheckBox" fmlaLink="$G$647" lockText="1" noThreeD="1"/>
</file>

<file path=xl/ctrlProps/ctrlProp475.xml><?xml version="1.0" encoding="utf-8"?>
<formControlPr xmlns="http://schemas.microsoft.com/office/spreadsheetml/2009/9/main" objectType="CheckBox" fmlaLink="$G$648" lockText="1" noThreeD="1"/>
</file>

<file path=xl/ctrlProps/ctrlProp476.xml><?xml version="1.0" encoding="utf-8"?>
<formControlPr xmlns="http://schemas.microsoft.com/office/spreadsheetml/2009/9/main" objectType="CheckBox" fmlaLink="$G$650" lockText="1" noThreeD="1"/>
</file>

<file path=xl/ctrlProps/ctrlProp477.xml><?xml version="1.0" encoding="utf-8"?>
<formControlPr xmlns="http://schemas.microsoft.com/office/spreadsheetml/2009/9/main" objectType="CheckBox" fmlaLink="$G$651" lockText="1" noThreeD="1"/>
</file>

<file path=xl/ctrlProps/ctrlProp478.xml><?xml version="1.0" encoding="utf-8"?>
<formControlPr xmlns="http://schemas.microsoft.com/office/spreadsheetml/2009/9/main" objectType="CheckBox" fmlaLink="$G$652" lockText="1" noThreeD="1"/>
</file>

<file path=xl/ctrlProps/ctrlProp479.xml><?xml version="1.0" encoding="utf-8"?>
<formControlPr xmlns="http://schemas.microsoft.com/office/spreadsheetml/2009/9/main" objectType="CheckBox" fmlaLink="$G$654" lockText="1" noThreeD="1"/>
</file>

<file path=xl/ctrlProps/ctrlProp480.xml><?xml version="1.0" encoding="utf-8"?>
<formControlPr xmlns="http://schemas.microsoft.com/office/spreadsheetml/2009/9/main" objectType="CheckBox" fmlaLink="$G$655" lockText="1" noThreeD="1"/>
</file>

<file path=xl/ctrlProps/ctrlProp481.xml><?xml version="1.0" encoding="utf-8"?>
<formControlPr xmlns="http://schemas.microsoft.com/office/spreadsheetml/2009/9/main" objectType="CheckBox" fmlaLink="$G$656" lockText="1" noThreeD="1"/>
</file>

<file path=xl/ctrlProps/ctrlProp482.xml><?xml version="1.0" encoding="utf-8"?>
<formControlPr xmlns="http://schemas.microsoft.com/office/spreadsheetml/2009/9/main" objectType="CheckBox" fmlaLink="$G$658" lockText="1" noThreeD="1"/>
</file>

<file path=xl/ctrlProps/ctrlProp483.xml><?xml version="1.0" encoding="utf-8"?>
<formControlPr xmlns="http://schemas.microsoft.com/office/spreadsheetml/2009/9/main" objectType="CheckBox" fmlaLink="$G$659" lockText="1" noThreeD="1"/>
</file>

<file path=xl/ctrlProps/ctrlProp484.xml><?xml version="1.0" encoding="utf-8"?>
<formControlPr xmlns="http://schemas.microsoft.com/office/spreadsheetml/2009/9/main" objectType="CheckBox" fmlaLink="$G$660" lockText="1" noThreeD="1"/>
</file>

<file path=xl/ctrlProps/ctrlProp485.xml><?xml version="1.0" encoding="utf-8"?>
<formControlPr xmlns="http://schemas.microsoft.com/office/spreadsheetml/2009/9/main" objectType="CheckBox" fmlaLink="$G$662" lockText="1" noThreeD="1"/>
</file>

<file path=xl/ctrlProps/ctrlProp486.xml><?xml version="1.0" encoding="utf-8"?>
<formControlPr xmlns="http://schemas.microsoft.com/office/spreadsheetml/2009/9/main" objectType="CheckBox" fmlaLink="$G$663" lockText="1" noThreeD="1"/>
</file>

<file path=xl/ctrlProps/ctrlProp487.xml><?xml version="1.0" encoding="utf-8"?>
<formControlPr xmlns="http://schemas.microsoft.com/office/spreadsheetml/2009/9/main" objectType="CheckBox" fmlaLink="$G$664" lockText="1" noThreeD="1"/>
</file>

<file path=xl/ctrlProps/ctrlProp488.xml><?xml version="1.0" encoding="utf-8"?>
<formControlPr xmlns="http://schemas.microsoft.com/office/spreadsheetml/2009/9/main" objectType="CheckBox" fmlaLink="$G$666" lockText="1" noThreeD="1"/>
</file>

<file path=xl/ctrlProps/ctrlProp489.xml><?xml version="1.0" encoding="utf-8"?>
<formControlPr xmlns="http://schemas.microsoft.com/office/spreadsheetml/2009/9/main" objectType="CheckBox" fmlaLink="$G$667" lockText="1" noThreeD="1"/>
</file>

<file path=xl/ctrlProps/ctrlProp490.xml><?xml version="1.0" encoding="utf-8"?>
<formControlPr xmlns="http://schemas.microsoft.com/office/spreadsheetml/2009/9/main" objectType="CheckBox" fmlaLink="$G$668" lockText="1" noThreeD="1"/>
</file>

<file path=xl/ctrlProps/ctrlProp491.xml><?xml version="1.0" encoding="utf-8"?>
<formControlPr xmlns="http://schemas.microsoft.com/office/spreadsheetml/2009/9/main" objectType="CheckBox" fmlaLink="$G$670" lockText="1" noThreeD="1"/>
</file>

<file path=xl/ctrlProps/ctrlProp492.xml><?xml version="1.0" encoding="utf-8"?>
<formControlPr xmlns="http://schemas.microsoft.com/office/spreadsheetml/2009/9/main" objectType="CheckBox" fmlaLink="$G$671" lockText="1" noThreeD="1"/>
</file>

<file path=xl/ctrlProps/ctrlProp493.xml><?xml version="1.0" encoding="utf-8"?>
<formControlPr xmlns="http://schemas.microsoft.com/office/spreadsheetml/2009/9/main" objectType="CheckBox" fmlaLink="$G$672" lockText="1" noThreeD="1"/>
</file>

<file path=xl/ctrlProps/ctrlProp494.xml><?xml version="1.0" encoding="utf-8"?>
<formControlPr xmlns="http://schemas.microsoft.com/office/spreadsheetml/2009/9/main" objectType="CheckBox" fmlaLink="$G$674" lockText="1" noThreeD="1"/>
</file>

<file path=xl/ctrlProps/ctrlProp495.xml><?xml version="1.0" encoding="utf-8"?>
<formControlPr xmlns="http://schemas.microsoft.com/office/spreadsheetml/2009/9/main" objectType="CheckBox" fmlaLink="$G$675" lockText="1" noThreeD="1"/>
</file>

<file path=xl/ctrlProps/ctrlProp496.xml><?xml version="1.0" encoding="utf-8"?>
<formControlPr xmlns="http://schemas.microsoft.com/office/spreadsheetml/2009/9/main" objectType="CheckBox" fmlaLink="$G$676" lockText="1" noThreeD="1"/>
</file>

<file path=xl/ctrlProps/ctrlProp497.xml><?xml version="1.0" encoding="utf-8"?>
<formControlPr xmlns="http://schemas.microsoft.com/office/spreadsheetml/2009/9/main" objectType="CheckBox" fmlaLink="$G$678" lockText="1" noThreeD="1"/>
</file>

<file path=xl/ctrlProps/ctrlProp498.xml><?xml version="1.0" encoding="utf-8"?>
<formControlPr xmlns="http://schemas.microsoft.com/office/spreadsheetml/2009/9/main" objectType="CheckBox" fmlaLink="$G$679" lockText="1" noThreeD="1"/>
</file>

<file path=xl/ctrlProps/ctrlProp499.xml><?xml version="1.0" encoding="utf-8"?>
<formControlPr xmlns="http://schemas.microsoft.com/office/spreadsheetml/2009/9/main" objectType="CheckBox" fmlaLink="$G$680" lockText="1" noThreeD="1"/>
</file>

<file path=xl/ctrlProps/ctrlProp500.xml><?xml version="1.0" encoding="utf-8"?>
<formControlPr xmlns="http://schemas.microsoft.com/office/spreadsheetml/2009/9/main" objectType="CheckBox" fmlaLink="$G$682" lockText="1" noThreeD="1"/>
</file>

<file path=xl/ctrlProps/ctrlProp501.xml><?xml version="1.0" encoding="utf-8"?>
<formControlPr xmlns="http://schemas.microsoft.com/office/spreadsheetml/2009/9/main" objectType="CheckBox" fmlaLink="$G$683" lockText="1" noThreeD="1"/>
</file>

<file path=xl/ctrlProps/ctrlProp502.xml><?xml version="1.0" encoding="utf-8"?>
<formControlPr xmlns="http://schemas.microsoft.com/office/spreadsheetml/2009/9/main" objectType="CheckBox" fmlaLink="$G$684" lockText="1" noThreeD="1"/>
</file>

<file path=xl/ctrlProps/ctrlProp503.xml><?xml version="1.0" encoding="utf-8"?>
<formControlPr xmlns="http://schemas.microsoft.com/office/spreadsheetml/2009/9/main" objectType="CheckBox" fmlaLink="$G$686" lockText="1" noThreeD="1"/>
</file>

<file path=xl/ctrlProps/ctrlProp504.xml><?xml version="1.0" encoding="utf-8"?>
<formControlPr xmlns="http://schemas.microsoft.com/office/spreadsheetml/2009/9/main" objectType="CheckBox" fmlaLink="$G$687" lockText="1" noThreeD="1"/>
</file>

<file path=xl/ctrlProps/ctrlProp505.xml><?xml version="1.0" encoding="utf-8"?>
<formControlPr xmlns="http://schemas.microsoft.com/office/spreadsheetml/2009/9/main" objectType="CheckBox" fmlaLink="$G$688" lockText="1" noThreeD="1"/>
</file>

<file path=xl/ctrlProps/ctrlProp506.xml><?xml version="1.0" encoding="utf-8"?>
<formControlPr xmlns="http://schemas.microsoft.com/office/spreadsheetml/2009/9/main" objectType="CheckBox" fmlaLink="$G$610" lockText="1" noThreeD="1"/>
</file>

<file path=xl/ctrlProps/ctrlProp507.xml><?xml version="1.0" encoding="utf-8"?>
<formControlPr xmlns="http://schemas.microsoft.com/office/spreadsheetml/2009/9/main" objectType="CheckBox" fmlaLink="$G$615" lockText="1" noThreeD="1"/>
</file>

<file path=xl/ctrlProps/ctrlProp508.xml><?xml version="1.0" encoding="utf-8"?>
<formControlPr xmlns="http://schemas.microsoft.com/office/spreadsheetml/2009/9/main" objectType="CheckBox" fmlaLink="$G$616" lockText="1" noThreeD="1"/>
</file>

<file path=xl/ctrlProps/ctrlProp509.xml><?xml version="1.0" encoding="utf-8"?>
<formControlPr xmlns="http://schemas.microsoft.com/office/spreadsheetml/2009/9/main" objectType="CheckBox" fmlaLink="$G$614" lockText="1" noThreeD="1"/>
</file>

<file path=xl/ctrlProps/ctrlProp510.xml><?xml version="1.0" encoding="utf-8"?>
<formControlPr xmlns="http://schemas.microsoft.com/office/spreadsheetml/2009/9/main" objectType="CheckBox" fmlaLink="$G$690" lockText="1" noThreeD="1"/>
</file>

<file path=xl/ctrlProps/ctrlProp511.xml><?xml version="1.0" encoding="utf-8"?>
<formControlPr xmlns="http://schemas.microsoft.com/office/spreadsheetml/2009/9/main" objectType="CheckBox" fmlaLink="$G$691" lockText="1" noThreeD="1"/>
</file>

<file path=xl/ctrlProps/ctrlProp512.xml><?xml version="1.0" encoding="utf-8"?>
<formControlPr xmlns="http://schemas.microsoft.com/office/spreadsheetml/2009/9/main" objectType="CheckBox" fmlaLink="$G$692" lockText="1" noThreeD="1"/>
</file>

<file path=xl/ctrlProps/ctrlProp513.xml><?xml version="1.0" encoding="utf-8"?>
<formControlPr xmlns="http://schemas.microsoft.com/office/spreadsheetml/2009/9/main" objectType="CheckBox" fmlaLink="$G$694" lockText="1" noThreeD="1"/>
</file>

<file path=xl/ctrlProps/ctrlProp514.xml><?xml version="1.0" encoding="utf-8"?>
<formControlPr xmlns="http://schemas.microsoft.com/office/spreadsheetml/2009/9/main" objectType="CheckBox" fmlaLink="$G$695" lockText="1" noThreeD="1"/>
</file>

<file path=xl/ctrlProps/ctrlProp515.xml><?xml version="1.0" encoding="utf-8"?>
<formControlPr xmlns="http://schemas.microsoft.com/office/spreadsheetml/2009/9/main" objectType="CheckBox" fmlaLink="$G$696" lockText="1" noThreeD="1"/>
</file>

<file path=xl/ctrlProps/ctrlProp516.xml><?xml version="1.0" encoding="utf-8"?>
<formControlPr xmlns="http://schemas.microsoft.com/office/spreadsheetml/2009/9/main" objectType="CheckBox" fmlaLink="$G$698" lockText="1" noThreeD="1"/>
</file>

<file path=xl/ctrlProps/ctrlProp517.xml><?xml version="1.0" encoding="utf-8"?>
<formControlPr xmlns="http://schemas.microsoft.com/office/spreadsheetml/2009/9/main" objectType="CheckBox" fmlaLink="$G$699" lockText="1" noThreeD="1"/>
</file>

<file path=xl/ctrlProps/ctrlProp518.xml><?xml version="1.0" encoding="utf-8"?>
<formControlPr xmlns="http://schemas.microsoft.com/office/spreadsheetml/2009/9/main" objectType="CheckBox" fmlaLink="$G$700" lockText="1" noThreeD="1"/>
</file>

<file path=xl/ctrlProps/ctrlProp519.xml><?xml version="1.0" encoding="utf-8"?>
<formControlPr xmlns="http://schemas.microsoft.com/office/spreadsheetml/2009/9/main" objectType="CheckBox" fmlaLink="$G$702" lockText="1" noThreeD="1"/>
</file>

<file path=xl/ctrlProps/ctrlProp520.xml><?xml version="1.0" encoding="utf-8"?>
<formControlPr xmlns="http://schemas.microsoft.com/office/spreadsheetml/2009/9/main" objectType="CheckBox" fmlaLink="$G$703" lockText="1" noThreeD="1"/>
</file>

<file path=xl/ctrlProps/ctrlProp521.xml><?xml version="1.0" encoding="utf-8"?>
<formControlPr xmlns="http://schemas.microsoft.com/office/spreadsheetml/2009/9/main" objectType="CheckBox" fmlaLink="$G$704" lockText="1" noThreeD="1"/>
</file>

<file path=xl/ctrlProps/ctrlProp522.xml><?xml version="1.0" encoding="utf-8"?>
<formControlPr xmlns="http://schemas.microsoft.com/office/spreadsheetml/2009/9/main" objectType="CheckBox" fmlaLink="$G$706" lockText="1" noThreeD="1"/>
</file>

<file path=xl/ctrlProps/ctrlProp523.xml><?xml version="1.0" encoding="utf-8"?>
<formControlPr xmlns="http://schemas.microsoft.com/office/spreadsheetml/2009/9/main" objectType="CheckBox" fmlaLink="$G$707" lockText="1" noThreeD="1"/>
</file>

<file path=xl/ctrlProps/ctrlProp524.xml><?xml version="1.0" encoding="utf-8"?>
<formControlPr xmlns="http://schemas.microsoft.com/office/spreadsheetml/2009/9/main" objectType="CheckBox" fmlaLink="$G$708" lockText="1" noThreeD="1"/>
</file>

<file path=xl/ctrlProps/ctrlProp525.xml><?xml version="1.0" encoding="utf-8"?>
<formControlPr xmlns="http://schemas.microsoft.com/office/spreadsheetml/2009/9/main" objectType="CheckBox" fmlaLink="$G$710" lockText="1" noThreeD="1"/>
</file>

<file path=xl/ctrlProps/ctrlProp526.xml><?xml version="1.0" encoding="utf-8"?>
<formControlPr xmlns="http://schemas.microsoft.com/office/spreadsheetml/2009/9/main" objectType="CheckBox" fmlaLink="$G$711" lockText="1" noThreeD="1"/>
</file>

<file path=xl/ctrlProps/ctrlProp527.xml><?xml version="1.0" encoding="utf-8"?>
<formControlPr xmlns="http://schemas.microsoft.com/office/spreadsheetml/2009/9/main" objectType="CheckBox" fmlaLink="$G$712" lockText="1" noThreeD="1"/>
</file>

<file path=xl/ctrlProps/ctrlProp528.xml><?xml version="1.0" encoding="utf-8"?>
<formControlPr xmlns="http://schemas.microsoft.com/office/spreadsheetml/2009/9/main" objectType="CheckBox" fmlaLink="$G$714" lockText="1" noThreeD="1"/>
</file>

<file path=xl/ctrlProps/ctrlProp529.xml><?xml version="1.0" encoding="utf-8"?>
<formControlPr xmlns="http://schemas.microsoft.com/office/spreadsheetml/2009/9/main" objectType="CheckBox" fmlaLink="$G$715" lockText="1" noThreeD="1"/>
</file>

<file path=xl/ctrlProps/ctrlProp530.xml><?xml version="1.0" encoding="utf-8"?>
<formControlPr xmlns="http://schemas.microsoft.com/office/spreadsheetml/2009/9/main" objectType="CheckBox" fmlaLink="$G$716" lockText="1" noThreeD="1"/>
</file>

<file path=xl/ctrlProps/ctrlProp531.xml><?xml version="1.0" encoding="utf-8"?>
<formControlPr xmlns="http://schemas.microsoft.com/office/spreadsheetml/2009/9/main" objectType="CheckBox" fmlaLink="$G$718" lockText="1" noThreeD="1"/>
</file>

<file path=xl/ctrlProps/ctrlProp532.xml><?xml version="1.0" encoding="utf-8"?>
<formControlPr xmlns="http://schemas.microsoft.com/office/spreadsheetml/2009/9/main" objectType="CheckBox" fmlaLink="$G$719" lockText="1" noThreeD="1"/>
</file>

<file path=xl/ctrlProps/ctrlProp533.xml><?xml version="1.0" encoding="utf-8"?>
<formControlPr xmlns="http://schemas.microsoft.com/office/spreadsheetml/2009/9/main" objectType="CheckBox" fmlaLink="$G$720" lockText="1" noThreeD="1"/>
</file>

<file path=xl/ctrlProps/ctrlProp534.xml><?xml version="1.0" encoding="utf-8"?>
<formControlPr xmlns="http://schemas.microsoft.com/office/spreadsheetml/2009/9/main" objectType="CheckBox" fmlaLink="$G$722" lockText="1" noThreeD="1"/>
</file>

<file path=xl/ctrlProps/ctrlProp535.xml><?xml version="1.0" encoding="utf-8"?>
<formControlPr xmlns="http://schemas.microsoft.com/office/spreadsheetml/2009/9/main" objectType="CheckBox" fmlaLink="$G$723" lockText="1" noThreeD="1"/>
</file>

<file path=xl/ctrlProps/ctrlProp536.xml><?xml version="1.0" encoding="utf-8"?>
<formControlPr xmlns="http://schemas.microsoft.com/office/spreadsheetml/2009/9/main" objectType="CheckBox" fmlaLink="$G$724" lockText="1" noThreeD="1"/>
</file>

<file path=xl/ctrlProps/ctrlProp537.xml><?xml version="1.0" encoding="utf-8"?>
<formControlPr xmlns="http://schemas.microsoft.com/office/spreadsheetml/2009/9/main" objectType="CheckBox" fmlaLink="$G$726" lockText="1" noThreeD="1"/>
</file>

<file path=xl/ctrlProps/ctrlProp538.xml><?xml version="1.0" encoding="utf-8"?>
<formControlPr xmlns="http://schemas.microsoft.com/office/spreadsheetml/2009/9/main" objectType="CheckBox" fmlaLink="$G$727" lockText="1" noThreeD="1"/>
</file>

<file path=xl/ctrlProps/ctrlProp539.xml><?xml version="1.0" encoding="utf-8"?>
<formControlPr xmlns="http://schemas.microsoft.com/office/spreadsheetml/2009/9/main" objectType="CheckBox" fmlaLink="$G$728" lockText="1" noThreeD="1"/>
</file>

<file path=xl/ctrlProps/ctrlProp540.xml><?xml version="1.0" encoding="utf-8"?>
<formControlPr xmlns="http://schemas.microsoft.com/office/spreadsheetml/2009/9/main" objectType="CheckBox" fmlaLink="$G$730" lockText="1" noThreeD="1"/>
</file>

<file path=xl/ctrlProps/ctrlProp541.xml><?xml version="1.0" encoding="utf-8"?>
<formControlPr xmlns="http://schemas.microsoft.com/office/spreadsheetml/2009/9/main" objectType="CheckBox" fmlaLink="$G$731" lockText="1" noThreeD="1"/>
</file>

<file path=xl/ctrlProps/ctrlProp542.xml><?xml version="1.0" encoding="utf-8"?>
<formControlPr xmlns="http://schemas.microsoft.com/office/spreadsheetml/2009/9/main" objectType="CheckBox" fmlaLink="$G$732" lockText="1" noThreeD="1"/>
</file>

<file path=xl/ctrlProps/ctrlProp543.xml><?xml version="1.0" encoding="utf-8"?>
<formControlPr xmlns="http://schemas.microsoft.com/office/spreadsheetml/2009/9/main" objectType="CheckBox" fmlaLink="$G$734" lockText="1" noThreeD="1"/>
</file>

<file path=xl/ctrlProps/ctrlProp544.xml><?xml version="1.0" encoding="utf-8"?>
<formControlPr xmlns="http://schemas.microsoft.com/office/spreadsheetml/2009/9/main" objectType="CheckBox" fmlaLink="$G$735" lockText="1" noThreeD="1"/>
</file>

<file path=xl/ctrlProps/ctrlProp545.xml><?xml version="1.0" encoding="utf-8"?>
<formControlPr xmlns="http://schemas.microsoft.com/office/spreadsheetml/2009/9/main" objectType="CheckBox" fmlaLink="$G$736" lockText="1" noThreeD="1"/>
</file>

<file path=xl/ctrlProps/ctrlProp546.xml><?xml version="1.0" encoding="utf-8"?>
<formControlPr xmlns="http://schemas.microsoft.com/office/spreadsheetml/2009/9/main" objectType="CheckBox" fmlaLink="$G$738" lockText="1" noThreeD="1"/>
</file>

<file path=xl/ctrlProps/ctrlProp547.xml><?xml version="1.0" encoding="utf-8"?>
<formControlPr xmlns="http://schemas.microsoft.com/office/spreadsheetml/2009/9/main" objectType="CheckBox" fmlaLink="$G$739" lockText="1" noThreeD="1"/>
</file>

<file path=xl/ctrlProps/ctrlProp548.xml><?xml version="1.0" encoding="utf-8"?>
<formControlPr xmlns="http://schemas.microsoft.com/office/spreadsheetml/2009/9/main" objectType="CheckBox" fmlaLink="$G$740" lockText="1" noThreeD="1"/>
</file>

<file path=xl/ctrlProps/ctrlProp549.xml><?xml version="1.0" encoding="utf-8"?>
<formControlPr xmlns="http://schemas.microsoft.com/office/spreadsheetml/2009/9/main" objectType="CheckBox" fmlaLink="$G$742" lockText="1" noThreeD="1"/>
</file>

<file path=xl/ctrlProps/ctrlProp550.xml><?xml version="1.0" encoding="utf-8"?>
<formControlPr xmlns="http://schemas.microsoft.com/office/spreadsheetml/2009/9/main" objectType="CheckBox" fmlaLink="$G$743" lockText="1" noThreeD="1"/>
</file>

<file path=xl/ctrlProps/ctrlProp551.xml><?xml version="1.0" encoding="utf-8"?>
<formControlPr xmlns="http://schemas.microsoft.com/office/spreadsheetml/2009/9/main" objectType="CheckBox" fmlaLink="$G$744" lockText="1" noThreeD="1"/>
</file>

<file path=xl/ctrlProps/ctrlProp552.xml><?xml version="1.0" encoding="utf-8"?>
<formControlPr xmlns="http://schemas.microsoft.com/office/spreadsheetml/2009/9/main" objectType="CheckBox" fmlaLink="$G$746" lockText="1" noThreeD="1"/>
</file>

<file path=xl/ctrlProps/ctrlProp553.xml><?xml version="1.0" encoding="utf-8"?>
<formControlPr xmlns="http://schemas.microsoft.com/office/spreadsheetml/2009/9/main" objectType="CheckBox" fmlaLink="$G$747" lockText="1" noThreeD="1"/>
</file>

<file path=xl/ctrlProps/ctrlProp554.xml><?xml version="1.0" encoding="utf-8"?>
<formControlPr xmlns="http://schemas.microsoft.com/office/spreadsheetml/2009/9/main" objectType="CheckBox" fmlaLink="$G$748" lockText="1" noThreeD="1"/>
</file>

<file path=xl/ctrlProps/ctrlProp555.xml><?xml version="1.0" encoding="utf-8"?>
<formControlPr xmlns="http://schemas.microsoft.com/office/spreadsheetml/2009/9/main" objectType="CheckBox" fmlaLink="$G$750" lockText="1" noThreeD="1"/>
</file>

<file path=xl/ctrlProps/ctrlProp556.xml><?xml version="1.0" encoding="utf-8"?>
<formControlPr xmlns="http://schemas.microsoft.com/office/spreadsheetml/2009/9/main" objectType="CheckBox" fmlaLink="$G$751" lockText="1" noThreeD="1"/>
</file>

<file path=xl/ctrlProps/ctrlProp557.xml><?xml version="1.0" encoding="utf-8"?>
<formControlPr xmlns="http://schemas.microsoft.com/office/spreadsheetml/2009/9/main" objectType="CheckBox" fmlaLink="$G$752" lockText="1" noThreeD="1"/>
</file>

<file path=xl/ctrlProps/ctrlProp558.xml><?xml version="1.0" encoding="utf-8"?>
<formControlPr xmlns="http://schemas.microsoft.com/office/spreadsheetml/2009/9/main" objectType="CheckBox" fmlaLink="$G$754" lockText="1" noThreeD="1"/>
</file>

<file path=xl/ctrlProps/ctrlProp559.xml><?xml version="1.0" encoding="utf-8"?>
<formControlPr xmlns="http://schemas.microsoft.com/office/spreadsheetml/2009/9/main" objectType="CheckBox" fmlaLink="$G$755" lockText="1" noThreeD="1"/>
</file>

<file path=xl/ctrlProps/ctrlProp560.xml><?xml version="1.0" encoding="utf-8"?>
<formControlPr xmlns="http://schemas.microsoft.com/office/spreadsheetml/2009/9/main" objectType="CheckBox" fmlaLink="$G$756" noThreeD="1"/>
</file>

<file path=xl/ctrlProps/ctrlProp561.xml><?xml version="1.0" encoding="utf-8"?>
<formControlPr xmlns="http://schemas.microsoft.com/office/spreadsheetml/2009/9/main" objectType="CheckBox" fmlaLink="$G$48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CUESTIONARIO!A1"/><Relationship Id="rId1" Type="http://schemas.openxmlformats.org/officeDocument/2006/relationships/hyperlink" Target="#INSTRUCCIONE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PRINCIPAL!A1"/><Relationship Id="rId1" Type="http://schemas.openxmlformats.org/officeDocument/2006/relationships/hyperlink" Target="#CUESTIONAR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PRINCIP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657224</xdr:colOff>
      <xdr:row>18</xdr:row>
      <xdr:rowOff>0</xdr:rowOff>
    </xdr:from>
    <xdr:to>
      <xdr:col>5</xdr:col>
      <xdr:colOff>304799</xdr:colOff>
      <xdr:row>20</xdr:row>
      <xdr:rowOff>142875</xdr:rowOff>
    </xdr:to>
    <xdr:sp macro="" textlink="">
      <xdr:nvSpPr>
        <xdr:cNvPr id="2" name="Redondear rectángulo de esquina diagonal 1">
          <a:hlinkClick xmlns:r="http://schemas.openxmlformats.org/officeDocument/2006/relationships" r:id="rId1"/>
        </xdr:cNvPr>
        <xdr:cNvSpPr/>
      </xdr:nvSpPr>
      <xdr:spPr>
        <a:xfrm>
          <a:off x="2943224" y="3429000"/>
          <a:ext cx="1171575" cy="523875"/>
        </a:xfrm>
        <a:prstGeom prst="round2Diag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AR" sz="1100"/>
            <a:t>INSTRUCCIONES</a:t>
          </a:r>
        </a:p>
      </xdr:txBody>
    </xdr:sp>
    <xdr:clientData/>
  </xdr:twoCellAnchor>
  <xdr:twoCellAnchor>
    <xdr:from>
      <xdr:col>7</xdr:col>
      <xdr:colOff>685799</xdr:colOff>
      <xdr:row>17</xdr:row>
      <xdr:rowOff>180975</xdr:rowOff>
    </xdr:from>
    <xdr:to>
      <xdr:col>9</xdr:col>
      <xdr:colOff>333374</xdr:colOff>
      <xdr:row>20</xdr:row>
      <xdr:rowOff>133350</xdr:rowOff>
    </xdr:to>
    <xdr:sp macro="" textlink="">
      <xdr:nvSpPr>
        <xdr:cNvPr id="8" name="Redondear rectángulo de esquina diagonal 7">
          <a:hlinkClick xmlns:r="http://schemas.openxmlformats.org/officeDocument/2006/relationships" r:id="rId2"/>
        </xdr:cNvPr>
        <xdr:cNvSpPr/>
      </xdr:nvSpPr>
      <xdr:spPr>
        <a:xfrm>
          <a:off x="6019799" y="3419475"/>
          <a:ext cx="1171575" cy="523875"/>
        </a:xfrm>
        <a:prstGeom prst="round2Diag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INICIAR</a:t>
          </a:r>
          <a:r>
            <a:rPr lang="es-AR" sz="1100" baseline="0"/>
            <a:t> TEST</a:t>
          </a:r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466203</xdr:colOff>
      <xdr:row>0</xdr:row>
      <xdr:rowOff>0</xdr:rowOff>
    </xdr:from>
    <xdr:to>
      <xdr:col>15</xdr:col>
      <xdr:colOff>466203</xdr:colOff>
      <xdr:row>48</xdr:row>
      <xdr:rowOff>28575</xdr:rowOff>
    </xdr:to>
    <xdr:sp macro="" textlink="">
      <xdr:nvSpPr>
        <xdr:cNvPr id="2" name="CuadroTexto 1"/>
        <xdr:cNvSpPr txBox="1"/>
      </xdr:nvSpPr>
      <xdr:spPr>
        <a:xfrm>
          <a:off x="466203" y="0"/>
          <a:ext cx="11351712" cy="95535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20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INSTRUCCIONES</a:t>
          </a:r>
          <a:r>
            <a:rPr lang="es-A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ctr"/>
          <a:r>
            <a:rPr lang="es-A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A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continuación encontrará una serie de cuestiones que permitirán conocer sus actitudes e intereses.  En general, no existen contestaciones correctas o incorrectas, porque las personas tienen distintos intereses y ven las cosas desde distintos puntos de vista.  Conteste con sinceridad; de esta forma se podrá conocer mejor su forma de ser.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primer lugar, escriba sus datos (apellidos, nombre, edad, ect.) en la parte superior.  Cada cuestión tiene tres posibles respuestas (A, B, C); en la Hoja encontrará estas  letras con unos espacios debajo para dar sus respuestas.  Las frases están ordenadas numéricamente; siga esta numeración al contestar.  Lea atentamente cada cuestión y las tres posibles respuestas; así le será más fácil decidirse.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Ahora conteste a los ejemplos de práctica; para señalar su respuesta (A, B, C) rellene en la hoja el espacio debajo de la letra correspondiente.  Si tiene dudas pregunte al examinador. </a:t>
          </a:r>
          <a:r>
            <a:rPr lang="es-A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AR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s-A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EJEMPLOS </a:t>
          </a:r>
          <a:endParaRPr lang="es-AR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s-A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AR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 algn="ctr" fontAlgn="base"/>
          <a:r>
            <a:rPr lang="es-AR" sz="140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 gusta presenciar una competición deportiva: </a:t>
          </a:r>
        </a:p>
        <a:p>
          <a:pPr lvl="1" algn="ctr" fontAlgn="base"/>
          <a:r>
            <a:rPr lang="es-AR" sz="140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A. Sí 	         B. A veces 	C. No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lvl="0" algn="ctr" fontAlgn="base"/>
          <a:r>
            <a:rPr lang="es-AR" sz="140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Prefiero las personas: </a:t>
          </a:r>
        </a:p>
        <a:p>
          <a:pPr lvl="1" algn="ctr" fontAlgn="base"/>
          <a:r>
            <a:rPr lang="es-AR" sz="140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A. Reservadas 	B. Término medio 	C. Que hacen amigos fácilmente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lvl="0" algn="ctr" fontAlgn="base"/>
          <a:r>
            <a:rPr lang="es-AR" sz="140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"Toro" es a "ternero" como "caballo" es a: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A. Potro 	        B. Ternera  	C. Yegua.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 el último ejemplo sí hay una contestación correcta (potro), pero existen muy pocas cuestiones de este tipo.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 contestar tenga en cuenta lo siguiente: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 piense demasiado las cuestiones ni emplee mucho tiempo en decidirse.  Las frases son muy cortas para darle todos los detalles que Vd. quisiera; por ejemplo, se ha puesto "presenciar una competición deportiva" y tal vez a Vd. le guste más el fútbol que el baloncesto; debe contestar pensando en lo que es habitual para Vd.  Generalmente se contestan cinco o seis por minuto, y se tarda poco más de media hora para completar todo el Cuadernillo.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Evite señalar la respuesta "término medio" o equivalente, excepto cuando le sea imposible decidirse por las otras ("sí", "no" o respuestas extremas); lo corriente es que esto no ocurra sólo cada tres o más cuestiones.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Procure no dejar ninguna cuestión sin contestar.  Es posible que alguna no tenga nada que ver con Vd. (porque no se aplica perfectamente a su caso); intente elegir la respuesta que vaya mejor con su modo de ser.  Tal vez algunas cuestiones le parezcan muy personales; no se preocupe y recuerde que las Hojas de respuestas se guardan como documentos confidenciales y no pueden ser valoradas sin una plantilla especial; por otra parte, al obtener los resultados no se consideran las respuestas una a una, sino globalmente.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ctr"/>
          <a:r>
            <a:rPr lang="es-A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Conteste sinceramente.  No señale sus respuestas pensando en lo que "es bueno" o "lo que interesa" para impresionar al examinador. </a:t>
          </a:r>
        </a:p>
        <a:p>
          <a:pPr algn="ctr"/>
          <a:endParaRPr lang="es-AR" sz="1400"/>
        </a:p>
      </xdr:txBody>
    </xdr:sp>
    <xdr:clientData/>
  </xdr:twoCellAnchor>
  <xdr:twoCellAnchor>
    <xdr:from>
      <xdr:col>13</xdr:col>
      <xdr:colOff>457200</xdr:colOff>
      <xdr:row>0</xdr:row>
      <xdr:rowOff>38101</xdr:rowOff>
    </xdr:from>
    <xdr:to>
      <xdr:col>14</xdr:col>
      <xdr:colOff>742950</xdr:colOff>
      <xdr:row>1</xdr:row>
      <xdr:rowOff>161926</xdr:rowOff>
    </xdr:to>
    <xdr:sp macro="" textlink="">
      <xdr:nvSpPr>
        <xdr:cNvPr id="3" name="Redondear rectángulo de esquina diagonal 2">
          <a:hlinkClick xmlns:r="http://schemas.openxmlformats.org/officeDocument/2006/relationships" r:id="rId1"/>
        </xdr:cNvPr>
        <xdr:cNvSpPr/>
      </xdr:nvSpPr>
      <xdr:spPr>
        <a:xfrm>
          <a:off x="10363200" y="38101"/>
          <a:ext cx="1047750" cy="381000"/>
        </a:xfrm>
        <a:prstGeom prst="round2Diag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INICIAR</a:t>
          </a:r>
          <a:r>
            <a:rPr lang="es-AR" sz="1100" baseline="0"/>
            <a:t> TEST</a:t>
          </a:r>
          <a:endParaRPr lang="es-AR" sz="1100"/>
        </a:p>
      </xdr:txBody>
    </xdr:sp>
    <xdr:clientData/>
  </xdr:twoCellAnchor>
  <xdr:twoCellAnchor>
    <xdr:from>
      <xdr:col>12</xdr:col>
      <xdr:colOff>123825</xdr:colOff>
      <xdr:row>0</xdr:row>
      <xdr:rowOff>47626</xdr:rowOff>
    </xdr:from>
    <xdr:to>
      <xdr:col>13</xdr:col>
      <xdr:colOff>409575</xdr:colOff>
      <xdr:row>1</xdr:row>
      <xdr:rowOff>171451</xdr:rowOff>
    </xdr:to>
    <xdr:sp macro="" textlink="">
      <xdr:nvSpPr>
        <xdr:cNvPr id="4" name="Redondear rectángulo de esquina diagonal 3">
          <a:hlinkClick xmlns:r="http://schemas.openxmlformats.org/officeDocument/2006/relationships" r:id="rId2"/>
        </xdr:cNvPr>
        <xdr:cNvSpPr/>
      </xdr:nvSpPr>
      <xdr:spPr>
        <a:xfrm>
          <a:off x="9267825" y="47626"/>
          <a:ext cx="1047750" cy="381000"/>
        </a:xfrm>
        <a:prstGeom prst="round2Diag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VOLVER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142875</xdr:rowOff>
        </xdr:from>
        <xdr:to>
          <xdr:col>0</xdr:col>
          <xdr:colOff>762000</xdr:colOff>
          <xdr:row>118</xdr:row>
          <xdr:rowOff>161925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Afilado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117</xdr:row>
          <xdr:rowOff>133350</xdr:rowOff>
        </xdr:from>
        <xdr:to>
          <xdr:col>2</xdr:col>
          <xdr:colOff>723900</xdr:colOff>
          <xdr:row>118</xdr:row>
          <xdr:rowOff>152400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Cortar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117</xdr:row>
          <xdr:rowOff>133350</xdr:rowOff>
        </xdr:from>
        <xdr:to>
          <xdr:col>4</xdr:col>
          <xdr:colOff>723900</xdr:colOff>
          <xdr:row>118</xdr:row>
          <xdr:rowOff>152400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Puntiagudo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142875</xdr:rowOff>
        </xdr:from>
        <xdr:to>
          <xdr:col>0</xdr:col>
          <xdr:colOff>714375</xdr:colOff>
          <xdr:row>122</xdr:row>
          <xdr:rowOff>161925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Verdadero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121</xdr:row>
          <xdr:rowOff>142875</xdr:rowOff>
        </xdr:from>
        <xdr:to>
          <xdr:col>3</xdr:col>
          <xdr:colOff>161925</xdr:colOff>
          <xdr:row>122</xdr:row>
          <xdr:rowOff>161925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estoy seguro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121</xdr:row>
          <xdr:rowOff>142875</xdr:rowOff>
        </xdr:from>
        <xdr:to>
          <xdr:col>4</xdr:col>
          <xdr:colOff>666750</xdr:colOff>
          <xdr:row>122</xdr:row>
          <xdr:rowOff>161925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1</xdr:col>
          <xdr:colOff>9525</xdr:colOff>
          <xdr:row>10</xdr:row>
          <xdr:rowOff>152400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9</xdr:row>
          <xdr:rowOff>142875</xdr:rowOff>
        </xdr:from>
        <xdr:to>
          <xdr:col>3</xdr:col>
          <xdr:colOff>47625</xdr:colOff>
          <xdr:row>10</xdr:row>
          <xdr:rowOff>161925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estoy seguro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9</xdr:row>
          <xdr:rowOff>133350</xdr:rowOff>
        </xdr:from>
        <xdr:to>
          <xdr:col>5</xdr:col>
          <xdr:colOff>9525</xdr:colOff>
          <xdr:row>10</xdr:row>
          <xdr:rowOff>152400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1</xdr:col>
          <xdr:colOff>9525</xdr:colOff>
          <xdr:row>14</xdr:row>
          <xdr:rowOff>152400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13</xdr:row>
          <xdr:rowOff>142875</xdr:rowOff>
        </xdr:from>
        <xdr:to>
          <xdr:col>3</xdr:col>
          <xdr:colOff>47625</xdr:colOff>
          <xdr:row>14</xdr:row>
          <xdr:rowOff>161925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estoy seguro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133350</xdr:rowOff>
        </xdr:from>
        <xdr:to>
          <xdr:col>5</xdr:col>
          <xdr:colOff>9525</xdr:colOff>
          <xdr:row>14</xdr:row>
          <xdr:rowOff>152400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152400</xdr:rowOff>
        </xdr:from>
        <xdr:to>
          <xdr:col>1</xdr:col>
          <xdr:colOff>704850</xdr:colOff>
          <xdr:row>18</xdr:row>
          <xdr:rowOff>152400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 una zona poblada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17</xdr:row>
          <xdr:rowOff>142875</xdr:rowOff>
        </xdr:from>
        <xdr:to>
          <xdr:col>3</xdr:col>
          <xdr:colOff>47625</xdr:colOff>
          <xdr:row>18</xdr:row>
          <xdr:rowOff>161925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17</xdr:row>
          <xdr:rowOff>104775</xdr:rowOff>
        </xdr:from>
        <xdr:to>
          <xdr:col>5</xdr:col>
          <xdr:colOff>685800</xdr:colOff>
          <xdr:row>18</xdr:row>
          <xdr:rowOff>152400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Aislada en un bosque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133350</xdr:rowOff>
        </xdr:from>
        <xdr:to>
          <xdr:col>1</xdr:col>
          <xdr:colOff>9525</xdr:colOff>
          <xdr:row>22</xdr:row>
          <xdr:rowOff>152400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Siempre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21</xdr:row>
          <xdr:rowOff>142875</xdr:rowOff>
        </xdr:from>
        <xdr:to>
          <xdr:col>3</xdr:col>
          <xdr:colOff>47625</xdr:colOff>
          <xdr:row>22</xdr:row>
          <xdr:rowOff>161925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Frecuentemente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21</xdr:row>
          <xdr:rowOff>133350</xdr:rowOff>
        </xdr:from>
        <xdr:to>
          <xdr:col>5</xdr:col>
          <xdr:colOff>9525</xdr:colOff>
          <xdr:row>22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Rara veces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133350</xdr:rowOff>
        </xdr:from>
        <xdr:to>
          <xdr:col>1</xdr:col>
          <xdr:colOff>9525</xdr:colOff>
          <xdr:row>26</xdr:row>
          <xdr:rowOff>152400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25</xdr:row>
          <xdr:rowOff>142875</xdr:rowOff>
        </xdr:from>
        <xdr:to>
          <xdr:col>3</xdr:col>
          <xdr:colOff>47625</xdr:colOff>
          <xdr:row>26</xdr:row>
          <xdr:rowOff>161925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25</xdr:row>
          <xdr:rowOff>133350</xdr:rowOff>
        </xdr:from>
        <xdr:to>
          <xdr:col>5</xdr:col>
          <xdr:colOff>9525</xdr:colOff>
          <xdr:row>26</xdr:row>
          <xdr:rowOff>152400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133350</xdr:rowOff>
        </xdr:from>
        <xdr:to>
          <xdr:col>1</xdr:col>
          <xdr:colOff>9525</xdr:colOff>
          <xdr:row>30</xdr:row>
          <xdr:rowOff>152400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Siempre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29</xdr:row>
          <xdr:rowOff>142875</xdr:rowOff>
        </xdr:from>
        <xdr:to>
          <xdr:col>3</xdr:col>
          <xdr:colOff>47625</xdr:colOff>
          <xdr:row>30</xdr:row>
          <xdr:rowOff>161925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veces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29</xdr:row>
          <xdr:rowOff>133350</xdr:rowOff>
        </xdr:from>
        <xdr:to>
          <xdr:col>5</xdr:col>
          <xdr:colOff>9525</xdr:colOff>
          <xdr:row>30</xdr:row>
          <xdr:rowOff>152400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Nunca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133350</xdr:rowOff>
        </xdr:from>
        <xdr:to>
          <xdr:col>1</xdr:col>
          <xdr:colOff>9525</xdr:colOff>
          <xdr:row>34</xdr:row>
          <xdr:rowOff>152400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Siempre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33</xdr:row>
          <xdr:rowOff>142875</xdr:rowOff>
        </xdr:from>
        <xdr:to>
          <xdr:col>3</xdr:col>
          <xdr:colOff>47625</xdr:colOff>
          <xdr:row>34</xdr:row>
          <xdr:rowOff>161925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veces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33</xdr:row>
          <xdr:rowOff>133350</xdr:rowOff>
        </xdr:from>
        <xdr:to>
          <xdr:col>5</xdr:col>
          <xdr:colOff>9525</xdr:colOff>
          <xdr:row>34</xdr:row>
          <xdr:rowOff>152400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Nunca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133350</xdr:rowOff>
        </xdr:from>
        <xdr:to>
          <xdr:col>1</xdr:col>
          <xdr:colOff>666750</xdr:colOff>
          <xdr:row>39</xdr:row>
          <xdr:rowOff>76200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37</xdr:row>
          <xdr:rowOff>142875</xdr:rowOff>
        </xdr:from>
        <xdr:to>
          <xdr:col>3</xdr:col>
          <xdr:colOff>47625</xdr:colOff>
          <xdr:row>38</xdr:row>
          <xdr:rowOff>161925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estoy seguro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37</xdr:row>
          <xdr:rowOff>133350</xdr:rowOff>
        </xdr:from>
        <xdr:to>
          <xdr:col>5</xdr:col>
          <xdr:colOff>161925</xdr:colOff>
          <xdr:row>39</xdr:row>
          <xdr:rowOff>76200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171450</xdr:rowOff>
        </xdr:from>
        <xdr:to>
          <xdr:col>1</xdr:col>
          <xdr:colOff>457200</xdr:colOff>
          <xdr:row>44</xdr:row>
          <xdr:rowOff>9525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Dejaría que se arreglaran solos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41</xdr:row>
          <xdr:rowOff>142875</xdr:rowOff>
        </xdr:from>
        <xdr:to>
          <xdr:col>3</xdr:col>
          <xdr:colOff>571500</xdr:colOff>
          <xdr:row>42</xdr:row>
          <xdr:rowOff>152400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sabría que hacer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40</xdr:row>
          <xdr:rowOff>152400</xdr:rowOff>
        </xdr:from>
        <xdr:to>
          <xdr:col>5</xdr:col>
          <xdr:colOff>466725</xdr:colOff>
          <xdr:row>44</xdr:row>
          <xdr:rowOff>9525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Intentaría reconciliarlos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133350</xdr:rowOff>
        </xdr:from>
        <xdr:to>
          <xdr:col>1</xdr:col>
          <xdr:colOff>581025</xdr:colOff>
          <xdr:row>46</xdr:row>
          <xdr:rowOff>123825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 hago notar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45</xdr:row>
          <xdr:rowOff>66675</xdr:rowOff>
        </xdr:from>
        <xdr:to>
          <xdr:col>3</xdr:col>
          <xdr:colOff>438150</xdr:colOff>
          <xdr:row>47</xdr:row>
          <xdr:rowOff>19050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sé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45</xdr:row>
          <xdr:rowOff>133350</xdr:rowOff>
        </xdr:from>
        <xdr:to>
          <xdr:col>6</xdr:col>
          <xdr:colOff>381000</xdr:colOff>
          <xdr:row>47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Prefiero permanecer a distancia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133350</xdr:rowOff>
        </xdr:from>
        <xdr:to>
          <xdr:col>1</xdr:col>
          <xdr:colOff>581025</xdr:colOff>
          <xdr:row>50</xdr:row>
          <xdr:rowOff>190500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Ingeniero constructor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49</xdr:row>
          <xdr:rowOff>142875</xdr:rowOff>
        </xdr:from>
        <xdr:to>
          <xdr:col>3</xdr:col>
          <xdr:colOff>47625</xdr:colOff>
          <xdr:row>50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49</xdr:row>
          <xdr:rowOff>133350</xdr:rowOff>
        </xdr:from>
        <xdr:to>
          <xdr:col>6</xdr:col>
          <xdr:colOff>371475</xdr:colOff>
          <xdr:row>50</xdr:row>
          <xdr:rowOff>152400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Escritor de guiones (dramaturgo)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133350</xdr:rowOff>
        </xdr:from>
        <xdr:to>
          <xdr:col>1</xdr:col>
          <xdr:colOff>9525</xdr:colOff>
          <xdr:row>54</xdr:row>
          <xdr:rowOff>152400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53</xdr:row>
          <xdr:rowOff>142875</xdr:rowOff>
        </xdr:from>
        <xdr:to>
          <xdr:col>3</xdr:col>
          <xdr:colOff>47625</xdr:colOff>
          <xdr:row>54</xdr:row>
          <xdr:rowOff>161925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sé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53</xdr:row>
          <xdr:rowOff>133350</xdr:rowOff>
        </xdr:from>
        <xdr:to>
          <xdr:col>5</xdr:col>
          <xdr:colOff>9525</xdr:colOff>
          <xdr:row>54</xdr:row>
          <xdr:rowOff>152400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133350</xdr:rowOff>
        </xdr:from>
        <xdr:to>
          <xdr:col>1</xdr:col>
          <xdr:colOff>9525</xdr:colOff>
          <xdr:row>58</xdr:row>
          <xdr:rowOff>152400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57</xdr:row>
          <xdr:rowOff>142875</xdr:rowOff>
        </xdr:from>
        <xdr:to>
          <xdr:col>3</xdr:col>
          <xdr:colOff>47625</xdr:colOff>
          <xdr:row>58</xdr:row>
          <xdr:rowOff>161925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estoy Seguro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57</xdr:row>
          <xdr:rowOff>133350</xdr:rowOff>
        </xdr:from>
        <xdr:to>
          <xdr:col>5</xdr:col>
          <xdr:colOff>9525</xdr:colOff>
          <xdr:row>58</xdr:row>
          <xdr:rowOff>152400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133350</xdr:rowOff>
        </xdr:from>
        <xdr:to>
          <xdr:col>1</xdr:col>
          <xdr:colOff>9525</xdr:colOff>
          <xdr:row>62</xdr:row>
          <xdr:rowOff>152400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61</xdr:row>
          <xdr:rowOff>142875</xdr:rowOff>
        </xdr:from>
        <xdr:to>
          <xdr:col>3</xdr:col>
          <xdr:colOff>47625</xdr:colOff>
          <xdr:row>62</xdr:row>
          <xdr:rowOff>161925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 duda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61</xdr:row>
          <xdr:rowOff>133350</xdr:rowOff>
        </xdr:from>
        <xdr:to>
          <xdr:col>5</xdr:col>
          <xdr:colOff>9525</xdr:colOff>
          <xdr:row>62</xdr:row>
          <xdr:rowOff>152400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133350</xdr:rowOff>
        </xdr:from>
        <xdr:to>
          <xdr:col>1</xdr:col>
          <xdr:colOff>723900</xdr:colOff>
          <xdr:row>66</xdr:row>
          <xdr:rowOff>104775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 acuerdo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65</xdr:row>
          <xdr:rowOff>142875</xdr:rowOff>
        </xdr:from>
        <xdr:to>
          <xdr:col>3</xdr:col>
          <xdr:colOff>47625</xdr:colOff>
          <xdr:row>66</xdr:row>
          <xdr:rowOff>161925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65</xdr:row>
          <xdr:rowOff>9525</xdr:rowOff>
        </xdr:from>
        <xdr:to>
          <xdr:col>5</xdr:col>
          <xdr:colOff>619125</xdr:colOff>
          <xdr:row>67</xdr:row>
          <xdr:rowOff>104775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 desacuerdo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133350</xdr:rowOff>
        </xdr:from>
        <xdr:to>
          <xdr:col>1</xdr:col>
          <xdr:colOff>9525</xdr:colOff>
          <xdr:row>70</xdr:row>
          <xdr:rowOff>152400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69</xdr:row>
          <xdr:rowOff>142875</xdr:rowOff>
        </xdr:from>
        <xdr:to>
          <xdr:col>3</xdr:col>
          <xdr:colOff>47625</xdr:colOff>
          <xdr:row>70</xdr:row>
          <xdr:rowOff>161925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estoy seguro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69</xdr:row>
          <xdr:rowOff>133350</xdr:rowOff>
        </xdr:from>
        <xdr:to>
          <xdr:col>5</xdr:col>
          <xdr:colOff>9525</xdr:colOff>
          <xdr:row>70</xdr:row>
          <xdr:rowOff>152400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73</xdr:row>
          <xdr:rowOff>66675</xdr:rowOff>
        </xdr:from>
        <xdr:to>
          <xdr:col>1</xdr:col>
          <xdr:colOff>438150</xdr:colOff>
          <xdr:row>75</xdr:row>
          <xdr:rowOff>47625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si es necesario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73</xdr:row>
          <xdr:rowOff>142875</xdr:rowOff>
        </xdr:from>
        <xdr:to>
          <xdr:col>3</xdr:col>
          <xdr:colOff>47625</xdr:colOff>
          <xdr:row>74</xdr:row>
          <xdr:rowOff>161925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73</xdr:row>
          <xdr:rowOff>133350</xdr:rowOff>
        </xdr:from>
        <xdr:to>
          <xdr:col>5</xdr:col>
          <xdr:colOff>790575</xdr:colOff>
          <xdr:row>74</xdr:row>
          <xdr:rowOff>171450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Cada vez que tengo la oportunidad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133350</xdr:rowOff>
        </xdr:from>
        <xdr:to>
          <xdr:col>1</xdr:col>
          <xdr:colOff>9525</xdr:colOff>
          <xdr:row>78</xdr:row>
          <xdr:rowOff>152400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77</xdr:row>
          <xdr:rowOff>142875</xdr:rowOff>
        </xdr:from>
        <xdr:to>
          <xdr:col>3</xdr:col>
          <xdr:colOff>47625</xdr:colOff>
          <xdr:row>78</xdr:row>
          <xdr:rowOff>161925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77</xdr:row>
          <xdr:rowOff>133350</xdr:rowOff>
        </xdr:from>
        <xdr:to>
          <xdr:col>5</xdr:col>
          <xdr:colOff>9525</xdr:colOff>
          <xdr:row>78</xdr:row>
          <xdr:rowOff>152400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133350</xdr:rowOff>
        </xdr:from>
        <xdr:to>
          <xdr:col>1</xdr:col>
          <xdr:colOff>9525</xdr:colOff>
          <xdr:row>82</xdr:row>
          <xdr:rowOff>152400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81</xdr:row>
          <xdr:rowOff>142875</xdr:rowOff>
        </xdr:from>
        <xdr:to>
          <xdr:col>3</xdr:col>
          <xdr:colOff>47625</xdr:colOff>
          <xdr:row>82</xdr:row>
          <xdr:rowOff>161925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81</xdr:row>
          <xdr:rowOff>133350</xdr:rowOff>
        </xdr:from>
        <xdr:to>
          <xdr:col>5</xdr:col>
          <xdr:colOff>9525</xdr:colOff>
          <xdr:row>82</xdr:row>
          <xdr:rowOff>152400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133350</xdr:rowOff>
        </xdr:from>
        <xdr:to>
          <xdr:col>1</xdr:col>
          <xdr:colOff>723900</xdr:colOff>
          <xdr:row>86</xdr:row>
          <xdr:rowOff>152400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85</xdr:row>
          <xdr:rowOff>142875</xdr:rowOff>
        </xdr:from>
        <xdr:to>
          <xdr:col>3</xdr:col>
          <xdr:colOff>47625</xdr:colOff>
          <xdr:row>86</xdr:row>
          <xdr:rowOff>161925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dudoso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85</xdr:row>
          <xdr:rowOff>133350</xdr:rowOff>
        </xdr:from>
        <xdr:to>
          <xdr:col>6</xdr:col>
          <xdr:colOff>171450</xdr:colOff>
          <xdr:row>86</xdr:row>
          <xdr:rowOff>161925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95250</xdr:rowOff>
        </xdr:from>
        <xdr:to>
          <xdr:col>1</xdr:col>
          <xdr:colOff>723900</xdr:colOff>
          <xdr:row>91</xdr:row>
          <xdr:rowOff>180975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Mis emociones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89</xdr:row>
          <xdr:rowOff>142875</xdr:rowOff>
        </xdr:from>
        <xdr:to>
          <xdr:col>3</xdr:col>
          <xdr:colOff>114300</xdr:colOff>
          <xdr:row>91</xdr:row>
          <xdr:rowOff>142875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Mis sentimientos y razon por igual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89</xdr:row>
          <xdr:rowOff>133350</xdr:rowOff>
        </xdr:from>
        <xdr:to>
          <xdr:col>5</xdr:col>
          <xdr:colOff>609600</xdr:colOff>
          <xdr:row>91</xdr:row>
          <xdr:rowOff>142875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Mis razonamientos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133350</xdr:rowOff>
        </xdr:from>
        <xdr:to>
          <xdr:col>1</xdr:col>
          <xdr:colOff>9525</xdr:colOff>
          <xdr:row>94</xdr:row>
          <xdr:rowOff>152400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93</xdr:row>
          <xdr:rowOff>142875</xdr:rowOff>
        </xdr:from>
        <xdr:to>
          <xdr:col>3</xdr:col>
          <xdr:colOff>47625</xdr:colOff>
          <xdr:row>94</xdr:row>
          <xdr:rowOff>161925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93</xdr:row>
          <xdr:rowOff>133350</xdr:rowOff>
        </xdr:from>
        <xdr:to>
          <xdr:col>5</xdr:col>
          <xdr:colOff>9525</xdr:colOff>
          <xdr:row>94</xdr:row>
          <xdr:rowOff>152400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133350</xdr:rowOff>
        </xdr:from>
        <xdr:to>
          <xdr:col>1</xdr:col>
          <xdr:colOff>9525</xdr:colOff>
          <xdr:row>98</xdr:row>
          <xdr:rowOff>152400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97</xdr:row>
          <xdr:rowOff>142875</xdr:rowOff>
        </xdr:from>
        <xdr:to>
          <xdr:col>3</xdr:col>
          <xdr:colOff>47625</xdr:colOff>
          <xdr:row>98</xdr:row>
          <xdr:rowOff>161925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 duda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97</xdr:row>
          <xdr:rowOff>133350</xdr:rowOff>
        </xdr:from>
        <xdr:to>
          <xdr:col>5</xdr:col>
          <xdr:colOff>9525</xdr:colOff>
          <xdr:row>98</xdr:row>
          <xdr:rowOff>152400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101</xdr:row>
          <xdr:rowOff>85725</xdr:rowOff>
        </xdr:from>
        <xdr:to>
          <xdr:col>1</xdr:col>
          <xdr:colOff>495300</xdr:colOff>
          <xdr:row>103</xdr:row>
          <xdr:rowOff>152400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Decir las cosas tal y como se me ocurren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101</xdr:row>
          <xdr:rowOff>142875</xdr:rowOff>
        </xdr:from>
        <xdr:to>
          <xdr:col>3</xdr:col>
          <xdr:colOff>47625</xdr:colOff>
          <xdr:row>102</xdr:row>
          <xdr:rowOff>161925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101</xdr:row>
          <xdr:rowOff>133350</xdr:rowOff>
        </xdr:from>
        <xdr:to>
          <xdr:col>5</xdr:col>
          <xdr:colOff>552450</xdr:colOff>
          <xdr:row>103</xdr:row>
          <xdr:rowOff>76200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Organizar primero mis pensamientos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133350</xdr:rowOff>
        </xdr:from>
        <xdr:to>
          <xdr:col>1</xdr:col>
          <xdr:colOff>9525</xdr:colOff>
          <xdr:row>106</xdr:row>
          <xdr:rowOff>152400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105</xdr:row>
          <xdr:rowOff>142875</xdr:rowOff>
        </xdr:from>
        <xdr:to>
          <xdr:col>3</xdr:col>
          <xdr:colOff>47625</xdr:colOff>
          <xdr:row>106</xdr:row>
          <xdr:rowOff>161925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105</xdr:row>
          <xdr:rowOff>133350</xdr:rowOff>
        </xdr:from>
        <xdr:to>
          <xdr:col>5</xdr:col>
          <xdr:colOff>9525</xdr:colOff>
          <xdr:row>106</xdr:row>
          <xdr:rowOff>152400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180975</xdr:rowOff>
        </xdr:from>
        <xdr:to>
          <xdr:col>1</xdr:col>
          <xdr:colOff>723900</xdr:colOff>
          <xdr:row>110</xdr:row>
          <xdr:rowOff>152400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Carpintero o cocinero,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109</xdr:row>
          <xdr:rowOff>76200</xdr:rowOff>
        </xdr:from>
        <xdr:to>
          <xdr:col>3</xdr:col>
          <xdr:colOff>714375</xdr:colOff>
          <xdr:row>111</xdr:row>
          <xdr:rowOff>38100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109</xdr:row>
          <xdr:rowOff>95250</xdr:rowOff>
        </xdr:from>
        <xdr:to>
          <xdr:col>5</xdr:col>
          <xdr:colOff>590550</xdr:colOff>
          <xdr:row>111</xdr:row>
          <xdr:rowOff>28575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Mesero en un buen restaurant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152400</xdr:rowOff>
        </xdr:from>
        <xdr:to>
          <xdr:col>1</xdr:col>
          <xdr:colOff>685800</xdr:colOff>
          <xdr:row>114</xdr:row>
          <xdr:rowOff>152400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Algunos pocos empleos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113</xdr:row>
          <xdr:rowOff>142875</xdr:rowOff>
        </xdr:from>
        <xdr:to>
          <xdr:col>3</xdr:col>
          <xdr:colOff>352425</xdr:colOff>
          <xdr:row>114</xdr:row>
          <xdr:rowOff>180975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Varios empleos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113</xdr:row>
          <xdr:rowOff>133350</xdr:rowOff>
        </xdr:from>
        <xdr:to>
          <xdr:col>5</xdr:col>
          <xdr:colOff>485775</xdr:colOff>
          <xdr:row>114</xdr:row>
          <xdr:rowOff>152400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Muchos empleos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152400</xdr:rowOff>
        </xdr:from>
        <xdr:to>
          <xdr:col>1</xdr:col>
          <xdr:colOff>685800</xdr:colOff>
          <xdr:row>126</xdr:row>
          <xdr:rowOff>152400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125</xdr:row>
          <xdr:rowOff>142875</xdr:rowOff>
        </xdr:from>
        <xdr:to>
          <xdr:col>3</xdr:col>
          <xdr:colOff>47625</xdr:colOff>
          <xdr:row>126</xdr:row>
          <xdr:rowOff>161925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Dudoso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125</xdr:row>
          <xdr:rowOff>133350</xdr:rowOff>
        </xdr:from>
        <xdr:to>
          <xdr:col>5</xdr:col>
          <xdr:colOff>485775</xdr:colOff>
          <xdr:row>126</xdr:row>
          <xdr:rowOff>152400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152400</xdr:rowOff>
        </xdr:from>
        <xdr:to>
          <xdr:col>1</xdr:col>
          <xdr:colOff>714375</xdr:colOff>
          <xdr:row>131</xdr:row>
          <xdr:rowOff>114300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después de una discusión considerable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129</xdr:row>
          <xdr:rowOff>142875</xdr:rowOff>
        </xdr:from>
        <xdr:to>
          <xdr:col>3</xdr:col>
          <xdr:colOff>723900</xdr:colOff>
          <xdr:row>130</xdr:row>
          <xdr:rowOff>142875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129</xdr:row>
          <xdr:rowOff>133350</xdr:rowOff>
        </xdr:from>
        <xdr:to>
          <xdr:col>5</xdr:col>
          <xdr:colOff>485775</xdr:colOff>
          <xdr:row>130</xdr:row>
          <xdr:rowOff>152400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Rapidamente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152400</xdr:rowOff>
        </xdr:from>
        <xdr:to>
          <xdr:col>1</xdr:col>
          <xdr:colOff>685800</xdr:colOff>
          <xdr:row>134</xdr:row>
          <xdr:rowOff>152400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134</xdr:row>
          <xdr:rowOff>0</xdr:rowOff>
        </xdr:from>
        <xdr:to>
          <xdr:col>3</xdr:col>
          <xdr:colOff>28575</xdr:colOff>
          <xdr:row>135</xdr:row>
          <xdr:rowOff>19050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Término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133</xdr:row>
          <xdr:rowOff>133350</xdr:rowOff>
        </xdr:from>
        <xdr:to>
          <xdr:col>5</xdr:col>
          <xdr:colOff>752475</xdr:colOff>
          <xdr:row>135</xdr:row>
          <xdr:rowOff>85725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152400</xdr:rowOff>
        </xdr:from>
        <xdr:to>
          <xdr:col>1</xdr:col>
          <xdr:colOff>685800</xdr:colOff>
          <xdr:row>138</xdr:row>
          <xdr:rowOff>152400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137</xdr:row>
          <xdr:rowOff>142875</xdr:rowOff>
        </xdr:from>
        <xdr:to>
          <xdr:col>3</xdr:col>
          <xdr:colOff>47625</xdr:colOff>
          <xdr:row>138</xdr:row>
          <xdr:rowOff>161925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137</xdr:row>
          <xdr:rowOff>133350</xdr:rowOff>
        </xdr:from>
        <xdr:to>
          <xdr:col>5</xdr:col>
          <xdr:colOff>485775</xdr:colOff>
          <xdr:row>138</xdr:row>
          <xdr:rowOff>152400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47625</xdr:rowOff>
        </xdr:from>
        <xdr:to>
          <xdr:col>1</xdr:col>
          <xdr:colOff>695325</xdr:colOff>
          <xdr:row>143</xdr:row>
          <xdr:rowOff>57150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 acepto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141</xdr:row>
          <xdr:rowOff>142875</xdr:rowOff>
        </xdr:from>
        <xdr:to>
          <xdr:col>3</xdr:col>
          <xdr:colOff>47625</xdr:colOff>
          <xdr:row>142</xdr:row>
          <xdr:rowOff>161925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Término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141</xdr:row>
          <xdr:rowOff>133350</xdr:rowOff>
        </xdr:from>
        <xdr:to>
          <xdr:col>6</xdr:col>
          <xdr:colOff>247650</xdr:colOff>
          <xdr:row>142</xdr:row>
          <xdr:rowOff>123825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 disgusto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152400</xdr:rowOff>
        </xdr:from>
        <xdr:to>
          <xdr:col>1</xdr:col>
          <xdr:colOff>685800</xdr:colOff>
          <xdr:row>146</xdr:row>
          <xdr:rowOff>152400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145</xdr:row>
          <xdr:rowOff>95250</xdr:rowOff>
        </xdr:from>
        <xdr:to>
          <xdr:col>3</xdr:col>
          <xdr:colOff>561975</xdr:colOff>
          <xdr:row>147</xdr:row>
          <xdr:rowOff>19050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145</xdr:row>
          <xdr:rowOff>133350</xdr:rowOff>
        </xdr:from>
        <xdr:to>
          <xdr:col>5</xdr:col>
          <xdr:colOff>485775</xdr:colOff>
          <xdr:row>146</xdr:row>
          <xdr:rowOff>152400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152400</xdr:rowOff>
        </xdr:from>
        <xdr:to>
          <xdr:col>1</xdr:col>
          <xdr:colOff>685800</xdr:colOff>
          <xdr:row>150</xdr:row>
          <xdr:rowOff>152400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149</xdr:row>
          <xdr:rowOff>142875</xdr:rowOff>
        </xdr:from>
        <xdr:to>
          <xdr:col>3</xdr:col>
          <xdr:colOff>47625</xdr:colOff>
          <xdr:row>150</xdr:row>
          <xdr:rowOff>161925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149</xdr:row>
          <xdr:rowOff>133350</xdr:rowOff>
        </xdr:from>
        <xdr:to>
          <xdr:col>5</xdr:col>
          <xdr:colOff>485775</xdr:colOff>
          <xdr:row>150</xdr:row>
          <xdr:rowOff>152400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76200</xdr:rowOff>
        </xdr:from>
        <xdr:to>
          <xdr:col>1</xdr:col>
          <xdr:colOff>514350</xdr:colOff>
          <xdr:row>155</xdr:row>
          <xdr:rowOff>47625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 música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153</xdr:row>
          <xdr:rowOff>142875</xdr:rowOff>
        </xdr:from>
        <xdr:to>
          <xdr:col>3</xdr:col>
          <xdr:colOff>47625</xdr:colOff>
          <xdr:row>154</xdr:row>
          <xdr:rowOff>161925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153</xdr:row>
          <xdr:rowOff>123825</xdr:rowOff>
        </xdr:from>
        <xdr:to>
          <xdr:col>6</xdr:col>
          <xdr:colOff>19050</xdr:colOff>
          <xdr:row>154</xdr:row>
          <xdr:rowOff>152400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Los trabajos manuales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152400</xdr:rowOff>
        </xdr:from>
        <xdr:to>
          <xdr:col>1</xdr:col>
          <xdr:colOff>685800</xdr:colOff>
          <xdr:row>158</xdr:row>
          <xdr:rowOff>152400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157</xdr:row>
          <xdr:rowOff>142875</xdr:rowOff>
        </xdr:from>
        <xdr:to>
          <xdr:col>3</xdr:col>
          <xdr:colOff>47625</xdr:colOff>
          <xdr:row>158</xdr:row>
          <xdr:rowOff>161925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veces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157</xdr:row>
          <xdr:rowOff>133350</xdr:rowOff>
        </xdr:from>
        <xdr:to>
          <xdr:col>5</xdr:col>
          <xdr:colOff>485775</xdr:colOff>
          <xdr:row>158</xdr:row>
          <xdr:rowOff>152400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161</xdr:row>
          <xdr:rowOff>9525</xdr:rowOff>
        </xdr:from>
        <xdr:to>
          <xdr:col>1</xdr:col>
          <xdr:colOff>590550</xdr:colOff>
          <xdr:row>163</xdr:row>
          <xdr:rowOff>95250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Ayudar a sus niños a desarrollar sus afectos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161</xdr:row>
          <xdr:rowOff>142875</xdr:rowOff>
        </xdr:from>
        <xdr:to>
          <xdr:col>3</xdr:col>
          <xdr:colOff>47625</xdr:colOff>
          <xdr:row>162</xdr:row>
          <xdr:rowOff>161925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161</xdr:row>
          <xdr:rowOff>28575</xdr:rowOff>
        </xdr:from>
        <xdr:to>
          <xdr:col>5</xdr:col>
          <xdr:colOff>666750</xdr:colOff>
          <xdr:row>163</xdr:row>
          <xdr:rowOff>76200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Enseñar a sus niños como controlar sus emociones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152400</xdr:rowOff>
        </xdr:from>
        <xdr:to>
          <xdr:col>1</xdr:col>
          <xdr:colOff>685800</xdr:colOff>
          <xdr:row>166</xdr:row>
          <xdr:rowOff>152400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Imponer acuerdos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165</xdr:row>
          <xdr:rowOff>142875</xdr:rowOff>
        </xdr:from>
        <xdr:to>
          <xdr:col>3</xdr:col>
          <xdr:colOff>47625</xdr:colOff>
          <xdr:row>166</xdr:row>
          <xdr:rowOff>161925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165</xdr:row>
          <xdr:rowOff>133350</xdr:rowOff>
        </xdr:from>
        <xdr:to>
          <xdr:col>5</xdr:col>
          <xdr:colOff>666750</xdr:colOff>
          <xdr:row>167</xdr:row>
          <xdr:rowOff>85725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Hacer apuntes y ver que obedezcan las reglas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152400</xdr:rowOff>
        </xdr:from>
        <xdr:to>
          <xdr:col>1</xdr:col>
          <xdr:colOff>685800</xdr:colOff>
          <xdr:row>170</xdr:row>
          <xdr:rowOff>152400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169</xdr:row>
          <xdr:rowOff>142875</xdr:rowOff>
        </xdr:from>
        <xdr:to>
          <xdr:col>3</xdr:col>
          <xdr:colOff>47625</xdr:colOff>
          <xdr:row>170</xdr:row>
          <xdr:rowOff>161925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169</xdr:row>
          <xdr:rowOff>133350</xdr:rowOff>
        </xdr:from>
        <xdr:to>
          <xdr:col>5</xdr:col>
          <xdr:colOff>485775</xdr:colOff>
          <xdr:row>170</xdr:row>
          <xdr:rowOff>152400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152400</xdr:rowOff>
        </xdr:from>
        <xdr:to>
          <xdr:col>1</xdr:col>
          <xdr:colOff>685800</xdr:colOff>
          <xdr:row>174</xdr:row>
          <xdr:rowOff>152400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173</xdr:row>
          <xdr:rowOff>142875</xdr:rowOff>
        </xdr:from>
        <xdr:to>
          <xdr:col>3</xdr:col>
          <xdr:colOff>47625</xdr:colOff>
          <xdr:row>174</xdr:row>
          <xdr:rowOff>161925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173</xdr:row>
          <xdr:rowOff>133350</xdr:rowOff>
        </xdr:from>
        <xdr:to>
          <xdr:col>5</xdr:col>
          <xdr:colOff>485775</xdr:colOff>
          <xdr:row>174</xdr:row>
          <xdr:rowOff>152400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152400</xdr:rowOff>
        </xdr:from>
        <xdr:to>
          <xdr:col>2</xdr:col>
          <xdr:colOff>76200</xdr:colOff>
          <xdr:row>183</xdr:row>
          <xdr:rowOff>171450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Veo una oportunidad para hablar de cosas que me interesan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182</xdr:row>
          <xdr:rowOff>9525</xdr:rowOff>
        </xdr:from>
        <xdr:to>
          <xdr:col>3</xdr:col>
          <xdr:colOff>342900</xdr:colOff>
          <xdr:row>183</xdr:row>
          <xdr:rowOff>28575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181</xdr:row>
          <xdr:rowOff>133350</xdr:rowOff>
        </xdr:from>
        <xdr:to>
          <xdr:col>5</xdr:col>
          <xdr:colOff>781050</xdr:colOff>
          <xdr:row>183</xdr:row>
          <xdr:rowOff>104775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Temo haber hecho algo mal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152400</xdr:rowOff>
        </xdr:from>
        <xdr:to>
          <xdr:col>1</xdr:col>
          <xdr:colOff>685800</xdr:colOff>
          <xdr:row>186</xdr:row>
          <xdr:rowOff>152400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Ciudadanos firmes y serios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185</xdr:row>
          <xdr:rowOff>142875</xdr:rowOff>
        </xdr:from>
        <xdr:to>
          <xdr:col>3</xdr:col>
          <xdr:colOff>47625</xdr:colOff>
          <xdr:row>186</xdr:row>
          <xdr:rowOff>161925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sé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185</xdr:row>
          <xdr:rowOff>47625</xdr:rowOff>
        </xdr:from>
        <xdr:to>
          <xdr:col>6</xdr:col>
          <xdr:colOff>104775</xdr:colOff>
          <xdr:row>187</xdr:row>
          <xdr:rowOff>47625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"Idealistas" con planes para mejorarlo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152400</xdr:rowOff>
        </xdr:from>
        <xdr:to>
          <xdr:col>1</xdr:col>
          <xdr:colOff>685800</xdr:colOff>
          <xdr:row>190</xdr:row>
          <xdr:rowOff>152400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189</xdr:row>
          <xdr:rowOff>142875</xdr:rowOff>
        </xdr:from>
        <xdr:to>
          <xdr:col>3</xdr:col>
          <xdr:colOff>47625</xdr:colOff>
          <xdr:row>190</xdr:row>
          <xdr:rowOff>161925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189</xdr:row>
          <xdr:rowOff>133350</xdr:rowOff>
        </xdr:from>
        <xdr:to>
          <xdr:col>5</xdr:col>
          <xdr:colOff>485775</xdr:colOff>
          <xdr:row>190</xdr:row>
          <xdr:rowOff>152400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152400</xdr:rowOff>
        </xdr:from>
        <xdr:to>
          <xdr:col>1</xdr:col>
          <xdr:colOff>685800</xdr:colOff>
          <xdr:row>194</xdr:row>
          <xdr:rowOff>152400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Pocas Veces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193</xdr:row>
          <xdr:rowOff>142875</xdr:rowOff>
        </xdr:from>
        <xdr:to>
          <xdr:col>3</xdr:col>
          <xdr:colOff>47625</xdr:colOff>
          <xdr:row>194</xdr:row>
          <xdr:rowOff>161925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Frecuentemente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193</xdr:row>
          <xdr:rowOff>133350</xdr:rowOff>
        </xdr:from>
        <xdr:to>
          <xdr:col>5</xdr:col>
          <xdr:colOff>485775</xdr:colOff>
          <xdr:row>194</xdr:row>
          <xdr:rowOff>152400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Muy frecuentemente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152400</xdr:rowOff>
        </xdr:from>
        <xdr:to>
          <xdr:col>1</xdr:col>
          <xdr:colOff>685800</xdr:colOff>
          <xdr:row>198</xdr:row>
          <xdr:rowOff>152400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197</xdr:row>
          <xdr:rowOff>142875</xdr:rowOff>
        </xdr:from>
        <xdr:to>
          <xdr:col>3</xdr:col>
          <xdr:colOff>47625</xdr:colOff>
          <xdr:row>198</xdr:row>
          <xdr:rowOff>161925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197</xdr:row>
          <xdr:rowOff>133350</xdr:rowOff>
        </xdr:from>
        <xdr:to>
          <xdr:col>5</xdr:col>
          <xdr:colOff>485775</xdr:colOff>
          <xdr:row>198</xdr:row>
          <xdr:rowOff>152400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152400</xdr:rowOff>
        </xdr:from>
        <xdr:to>
          <xdr:col>1</xdr:col>
          <xdr:colOff>685800</xdr:colOff>
          <xdr:row>202</xdr:row>
          <xdr:rowOff>152400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201</xdr:row>
          <xdr:rowOff>142875</xdr:rowOff>
        </xdr:from>
        <xdr:to>
          <xdr:col>3</xdr:col>
          <xdr:colOff>47625</xdr:colOff>
          <xdr:row>202</xdr:row>
          <xdr:rowOff>161925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201</xdr:row>
          <xdr:rowOff>133350</xdr:rowOff>
        </xdr:from>
        <xdr:to>
          <xdr:col>5</xdr:col>
          <xdr:colOff>485775</xdr:colOff>
          <xdr:row>202</xdr:row>
          <xdr:rowOff>152400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38100</xdr:rowOff>
        </xdr:from>
        <xdr:to>
          <xdr:col>1</xdr:col>
          <xdr:colOff>514350</xdr:colOff>
          <xdr:row>207</xdr:row>
          <xdr:rowOff>76200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205</xdr:row>
          <xdr:rowOff>142875</xdr:rowOff>
        </xdr:from>
        <xdr:to>
          <xdr:col>3</xdr:col>
          <xdr:colOff>47625</xdr:colOff>
          <xdr:row>206</xdr:row>
          <xdr:rowOff>161925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205</xdr:row>
          <xdr:rowOff>9525</xdr:rowOff>
        </xdr:from>
        <xdr:to>
          <xdr:col>5</xdr:col>
          <xdr:colOff>561975</xdr:colOff>
          <xdr:row>207</xdr:row>
          <xdr:rowOff>123825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152400</xdr:rowOff>
        </xdr:from>
        <xdr:to>
          <xdr:col>1</xdr:col>
          <xdr:colOff>685800</xdr:colOff>
          <xdr:row>178</xdr:row>
          <xdr:rowOff>152400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177</xdr:row>
          <xdr:rowOff>142875</xdr:rowOff>
        </xdr:from>
        <xdr:to>
          <xdr:col>3</xdr:col>
          <xdr:colOff>47625</xdr:colOff>
          <xdr:row>178</xdr:row>
          <xdr:rowOff>161925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177</xdr:row>
          <xdr:rowOff>133350</xdr:rowOff>
        </xdr:from>
        <xdr:to>
          <xdr:col>5</xdr:col>
          <xdr:colOff>485775</xdr:colOff>
          <xdr:row>178</xdr:row>
          <xdr:rowOff>152400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38100</xdr:rowOff>
        </xdr:from>
        <xdr:to>
          <xdr:col>1</xdr:col>
          <xdr:colOff>514350</xdr:colOff>
          <xdr:row>211</xdr:row>
          <xdr:rowOff>76200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Guardabosques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209</xdr:row>
          <xdr:rowOff>142875</xdr:rowOff>
        </xdr:from>
        <xdr:to>
          <xdr:col>3</xdr:col>
          <xdr:colOff>47625</xdr:colOff>
          <xdr:row>210</xdr:row>
          <xdr:rowOff>161925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209</xdr:row>
          <xdr:rowOff>9525</xdr:rowOff>
        </xdr:from>
        <xdr:to>
          <xdr:col>5</xdr:col>
          <xdr:colOff>781050</xdr:colOff>
          <xdr:row>211</xdr:row>
          <xdr:rowOff>85725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Maestro de escuela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38100</xdr:rowOff>
        </xdr:from>
        <xdr:to>
          <xdr:col>1</xdr:col>
          <xdr:colOff>514350</xdr:colOff>
          <xdr:row>215</xdr:row>
          <xdr:rowOff>76200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 gusta hacer regalos personales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213</xdr:row>
          <xdr:rowOff>142875</xdr:rowOff>
        </xdr:from>
        <xdr:to>
          <xdr:col>3</xdr:col>
          <xdr:colOff>47625</xdr:colOff>
          <xdr:row>214</xdr:row>
          <xdr:rowOff>161925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213</xdr:row>
          <xdr:rowOff>9525</xdr:rowOff>
        </xdr:from>
        <xdr:to>
          <xdr:col>5</xdr:col>
          <xdr:colOff>419100</xdr:colOff>
          <xdr:row>215</xdr:row>
          <xdr:rowOff>85725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Creo que aun poco molesto comprar regalos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38100</xdr:rowOff>
        </xdr:from>
        <xdr:to>
          <xdr:col>1</xdr:col>
          <xdr:colOff>514350</xdr:colOff>
          <xdr:row>219</xdr:row>
          <xdr:rowOff>76200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Sonrisa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217</xdr:row>
          <xdr:rowOff>142875</xdr:rowOff>
        </xdr:from>
        <xdr:to>
          <xdr:col>3</xdr:col>
          <xdr:colOff>47625</xdr:colOff>
          <xdr:row>218</xdr:row>
          <xdr:rowOff>161925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Éxito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217</xdr:row>
          <xdr:rowOff>9525</xdr:rowOff>
        </xdr:from>
        <xdr:to>
          <xdr:col>5</xdr:col>
          <xdr:colOff>666750</xdr:colOff>
          <xdr:row>219</xdr:row>
          <xdr:rowOff>85725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Felicidad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38100</xdr:rowOff>
        </xdr:from>
        <xdr:to>
          <xdr:col>1</xdr:col>
          <xdr:colOff>514350</xdr:colOff>
          <xdr:row>223</xdr:row>
          <xdr:rowOff>76200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Vela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221</xdr:row>
          <xdr:rowOff>142875</xdr:rowOff>
        </xdr:from>
        <xdr:to>
          <xdr:col>3</xdr:col>
          <xdr:colOff>47625</xdr:colOff>
          <xdr:row>222</xdr:row>
          <xdr:rowOff>161925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221</xdr:row>
          <xdr:rowOff>9525</xdr:rowOff>
        </xdr:from>
        <xdr:to>
          <xdr:col>5</xdr:col>
          <xdr:colOff>790575</xdr:colOff>
          <xdr:row>223</xdr:row>
          <xdr:rowOff>142875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Luz eléctrica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38100</xdr:rowOff>
        </xdr:from>
        <xdr:to>
          <xdr:col>1</xdr:col>
          <xdr:colOff>514350</xdr:colOff>
          <xdr:row>227</xdr:row>
          <xdr:rowOff>76200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 Nunca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225</xdr:row>
          <xdr:rowOff>142875</xdr:rowOff>
        </xdr:from>
        <xdr:to>
          <xdr:col>3</xdr:col>
          <xdr:colOff>47625</xdr:colOff>
          <xdr:row>226</xdr:row>
          <xdr:rowOff>161925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Ocasionalmente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225</xdr:row>
          <xdr:rowOff>9525</xdr:rowOff>
        </xdr:from>
        <xdr:to>
          <xdr:col>6</xdr:col>
          <xdr:colOff>114300</xdr:colOff>
          <xdr:row>227</xdr:row>
          <xdr:rowOff>85725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Muy a menudo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38100</xdr:rowOff>
        </xdr:from>
        <xdr:to>
          <xdr:col>1</xdr:col>
          <xdr:colOff>514350</xdr:colOff>
          <xdr:row>231</xdr:row>
          <xdr:rowOff>76200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229</xdr:row>
          <xdr:rowOff>142875</xdr:rowOff>
        </xdr:from>
        <xdr:to>
          <xdr:col>3</xdr:col>
          <xdr:colOff>47625</xdr:colOff>
          <xdr:row>230</xdr:row>
          <xdr:rowOff>161925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Dudoso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229</xdr:row>
          <xdr:rowOff>9525</xdr:rowOff>
        </xdr:from>
        <xdr:to>
          <xdr:col>6</xdr:col>
          <xdr:colOff>114300</xdr:colOff>
          <xdr:row>231</xdr:row>
          <xdr:rowOff>85725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38100</xdr:rowOff>
        </xdr:from>
        <xdr:to>
          <xdr:col>1</xdr:col>
          <xdr:colOff>514350</xdr:colOff>
          <xdr:row>235</xdr:row>
          <xdr:rowOff>76200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233</xdr:row>
          <xdr:rowOff>142875</xdr:rowOff>
        </xdr:from>
        <xdr:to>
          <xdr:col>3</xdr:col>
          <xdr:colOff>47625</xdr:colOff>
          <xdr:row>234</xdr:row>
          <xdr:rowOff>161925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veces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233</xdr:row>
          <xdr:rowOff>9525</xdr:rowOff>
        </xdr:from>
        <xdr:to>
          <xdr:col>5</xdr:col>
          <xdr:colOff>657225</xdr:colOff>
          <xdr:row>235</xdr:row>
          <xdr:rowOff>85725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236</xdr:row>
          <xdr:rowOff>161925</xdr:rowOff>
        </xdr:from>
        <xdr:to>
          <xdr:col>1</xdr:col>
          <xdr:colOff>552450</xdr:colOff>
          <xdr:row>239</xdr:row>
          <xdr:rowOff>161925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Más de una vez a la semana (más de lo normal)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237</xdr:row>
          <xdr:rowOff>47625</xdr:rowOff>
        </xdr:from>
        <xdr:to>
          <xdr:col>3</xdr:col>
          <xdr:colOff>581025</xdr:colOff>
          <xdr:row>239</xdr:row>
          <xdr:rowOff>95250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Una vez a la semana (lo normal)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237</xdr:row>
          <xdr:rowOff>9525</xdr:rowOff>
        </xdr:from>
        <xdr:to>
          <xdr:col>5</xdr:col>
          <xdr:colOff>714375</xdr:colOff>
          <xdr:row>239</xdr:row>
          <xdr:rowOff>85725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menos de una vez a la semana (menos de lo normal)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38100</xdr:rowOff>
        </xdr:from>
        <xdr:to>
          <xdr:col>1</xdr:col>
          <xdr:colOff>514350</xdr:colOff>
          <xdr:row>243</xdr:row>
          <xdr:rowOff>76200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241</xdr:row>
          <xdr:rowOff>142875</xdr:rowOff>
        </xdr:from>
        <xdr:to>
          <xdr:col>3</xdr:col>
          <xdr:colOff>47625</xdr:colOff>
          <xdr:row>242</xdr:row>
          <xdr:rowOff>161925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241</xdr:row>
          <xdr:rowOff>9525</xdr:rowOff>
        </xdr:from>
        <xdr:to>
          <xdr:col>5</xdr:col>
          <xdr:colOff>638175</xdr:colOff>
          <xdr:row>243</xdr:row>
          <xdr:rowOff>85725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38100</xdr:rowOff>
        </xdr:from>
        <xdr:to>
          <xdr:col>1</xdr:col>
          <xdr:colOff>514350</xdr:colOff>
          <xdr:row>247</xdr:row>
          <xdr:rowOff>76200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245</xdr:row>
          <xdr:rowOff>142875</xdr:rowOff>
        </xdr:from>
        <xdr:to>
          <xdr:col>3</xdr:col>
          <xdr:colOff>47625</xdr:colOff>
          <xdr:row>246</xdr:row>
          <xdr:rowOff>161925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245</xdr:row>
          <xdr:rowOff>9525</xdr:rowOff>
        </xdr:from>
        <xdr:to>
          <xdr:col>5</xdr:col>
          <xdr:colOff>638175</xdr:colOff>
          <xdr:row>247</xdr:row>
          <xdr:rowOff>85725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38100</xdr:rowOff>
        </xdr:from>
        <xdr:to>
          <xdr:col>1</xdr:col>
          <xdr:colOff>514350</xdr:colOff>
          <xdr:row>251</xdr:row>
          <xdr:rowOff>76200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249</xdr:row>
          <xdr:rowOff>142875</xdr:rowOff>
        </xdr:from>
        <xdr:to>
          <xdr:col>3</xdr:col>
          <xdr:colOff>47625</xdr:colOff>
          <xdr:row>250</xdr:row>
          <xdr:rowOff>161925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249</xdr:row>
          <xdr:rowOff>9525</xdr:rowOff>
        </xdr:from>
        <xdr:to>
          <xdr:col>6</xdr:col>
          <xdr:colOff>114300</xdr:colOff>
          <xdr:row>251</xdr:row>
          <xdr:rowOff>85725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38100</xdr:rowOff>
        </xdr:from>
        <xdr:to>
          <xdr:col>1</xdr:col>
          <xdr:colOff>514350</xdr:colOff>
          <xdr:row>255</xdr:row>
          <xdr:rowOff>76200</xdr:rowOff>
        </xdr:to>
        <xdr:sp macro="" textlink="">
          <xdr:nvSpPr>
            <xdr:cNvPr id="1211" name="Check Box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253</xdr:row>
          <xdr:rowOff>142875</xdr:rowOff>
        </xdr:from>
        <xdr:to>
          <xdr:col>3</xdr:col>
          <xdr:colOff>47625</xdr:colOff>
          <xdr:row>254</xdr:row>
          <xdr:rowOff>161925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253</xdr:row>
          <xdr:rowOff>9525</xdr:rowOff>
        </xdr:from>
        <xdr:to>
          <xdr:col>5</xdr:col>
          <xdr:colOff>733425</xdr:colOff>
          <xdr:row>255</xdr:row>
          <xdr:rowOff>85725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38100</xdr:rowOff>
        </xdr:from>
        <xdr:to>
          <xdr:col>1</xdr:col>
          <xdr:colOff>514350</xdr:colOff>
          <xdr:row>263</xdr:row>
          <xdr:rowOff>76200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261</xdr:row>
          <xdr:rowOff>142875</xdr:rowOff>
        </xdr:from>
        <xdr:to>
          <xdr:col>3</xdr:col>
          <xdr:colOff>47625</xdr:colOff>
          <xdr:row>262</xdr:row>
          <xdr:rowOff>161925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Dudoso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261</xdr:row>
          <xdr:rowOff>9525</xdr:rowOff>
        </xdr:from>
        <xdr:to>
          <xdr:col>5</xdr:col>
          <xdr:colOff>714375</xdr:colOff>
          <xdr:row>263</xdr:row>
          <xdr:rowOff>85725</xdr:rowOff>
        </xdr:to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38100</xdr:rowOff>
        </xdr:from>
        <xdr:to>
          <xdr:col>1</xdr:col>
          <xdr:colOff>514350</xdr:colOff>
          <xdr:row>267</xdr:row>
          <xdr:rowOff>76200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265</xdr:row>
          <xdr:rowOff>142875</xdr:rowOff>
        </xdr:from>
        <xdr:to>
          <xdr:col>3</xdr:col>
          <xdr:colOff>47625</xdr:colOff>
          <xdr:row>266</xdr:row>
          <xdr:rowOff>161925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Algunas veces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265</xdr:row>
          <xdr:rowOff>9525</xdr:rowOff>
        </xdr:from>
        <xdr:to>
          <xdr:col>6</xdr:col>
          <xdr:colOff>114300</xdr:colOff>
          <xdr:row>267</xdr:row>
          <xdr:rowOff>85725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38100</xdr:rowOff>
        </xdr:from>
        <xdr:to>
          <xdr:col>1</xdr:col>
          <xdr:colOff>514350</xdr:colOff>
          <xdr:row>271</xdr:row>
          <xdr:rowOff>76200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269</xdr:row>
          <xdr:rowOff>142875</xdr:rowOff>
        </xdr:from>
        <xdr:to>
          <xdr:col>3</xdr:col>
          <xdr:colOff>47625</xdr:colOff>
          <xdr:row>270</xdr:row>
          <xdr:rowOff>161925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269</xdr:row>
          <xdr:rowOff>9525</xdr:rowOff>
        </xdr:from>
        <xdr:to>
          <xdr:col>6</xdr:col>
          <xdr:colOff>114300</xdr:colOff>
          <xdr:row>271</xdr:row>
          <xdr:rowOff>85725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38100</xdr:rowOff>
        </xdr:from>
        <xdr:to>
          <xdr:col>1</xdr:col>
          <xdr:colOff>514350</xdr:colOff>
          <xdr:row>275</xdr:row>
          <xdr:rowOff>76200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273</xdr:row>
          <xdr:rowOff>142875</xdr:rowOff>
        </xdr:from>
        <xdr:to>
          <xdr:col>3</xdr:col>
          <xdr:colOff>47625</xdr:colOff>
          <xdr:row>274</xdr:row>
          <xdr:rowOff>161925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273</xdr:row>
          <xdr:rowOff>9525</xdr:rowOff>
        </xdr:from>
        <xdr:to>
          <xdr:col>6</xdr:col>
          <xdr:colOff>114300</xdr:colOff>
          <xdr:row>275</xdr:row>
          <xdr:rowOff>85725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38100</xdr:rowOff>
        </xdr:from>
        <xdr:to>
          <xdr:col>1</xdr:col>
          <xdr:colOff>514350</xdr:colOff>
          <xdr:row>279</xdr:row>
          <xdr:rowOff>76200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Raras veces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277</xdr:row>
          <xdr:rowOff>142875</xdr:rowOff>
        </xdr:from>
        <xdr:to>
          <xdr:col>3</xdr:col>
          <xdr:colOff>47625</xdr:colOff>
          <xdr:row>278</xdr:row>
          <xdr:rowOff>161925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277</xdr:row>
          <xdr:rowOff>9525</xdr:rowOff>
        </xdr:from>
        <xdr:to>
          <xdr:col>6</xdr:col>
          <xdr:colOff>114300</xdr:colOff>
          <xdr:row>279</xdr:row>
          <xdr:rowOff>85725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Muy frecuentemente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38100</xdr:rowOff>
        </xdr:from>
        <xdr:to>
          <xdr:col>1</xdr:col>
          <xdr:colOff>514350</xdr:colOff>
          <xdr:row>283</xdr:row>
          <xdr:rowOff>76200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281</xdr:row>
          <xdr:rowOff>142875</xdr:rowOff>
        </xdr:from>
        <xdr:to>
          <xdr:col>3</xdr:col>
          <xdr:colOff>47625</xdr:colOff>
          <xdr:row>282</xdr:row>
          <xdr:rowOff>161925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Término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281</xdr:row>
          <xdr:rowOff>9525</xdr:rowOff>
        </xdr:from>
        <xdr:to>
          <xdr:col>5</xdr:col>
          <xdr:colOff>800100</xdr:colOff>
          <xdr:row>283</xdr:row>
          <xdr:rowOff>85725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38100</xdr:rowOff>
        </xdr:from>
        <xdr:to>
          <xdr:col>1</xdr:col>
          <xdr:colOff>514350</xdr:colOff>
          <xdr:row>287</xdr:row>
          <xdr:rowOff>76200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 mantenia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285</xdr:row>
          <xdr:rowOff>142875</xdr:rowOff>
        </xdr:from>
        <xdr:to>
          <xdr:col>3</xdr:col>
          <xdr:colOff>47625</xdr:colOff>
          <xdr:row>286</xdr:row>
          <xdr:rowOff>161925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285</xdr:row>
          <xdr:rowOff>9525</xdr:rowOff>
        </xdr:from>
        <xdr:to>
          <xdr:col>6</xdr:col>
          <xdr:colOff>733425</xdr:colOff>
          <xdr:row>287</xdr:row>
          <xdr:rowOff>85725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Aceptaba la autoridad de mis padres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38100</xdr:rowOff>
        </xdr:from>
        <xdr:to>
          <xdr:col>1</xdr:col>
          <xdr:colOff>514350</xdr:colOff>
          <xdr:row>291</xdr:row>
          <xdr:rowOff>76200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289</xdr:row>
          <xdr:rowOff>142875</xdr:rowOff>
        </xdr:from>
        <xdr:to>
          <xdr:col>3</xdr:col>
          <xdr:colOff>47625</xdr:colOff>
          <xdr:row>290</xdr:row>
          <xdr:rowOff>161925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289</xdr:row>
          <xdr:rowOff>9525</xdr:rowOff>
        </xdr:from>
        <xdr:to>
          <xdr:col>5</xdr:col>
          <xdr:colOff>800100</xdr:colOff>
          <xdr:row>291</xdr:row>
          <xdr:rowOff>85725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38100</xdr:rowOff>
        </xdr:from>
        <xdr:to>
          <xdr:col>1</xdr:col>
          <xdr:colOff>514350</xdr:colOff>
          <xdr:row>295</xdr:row>
          <xdr:rowOff>76200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293</xdr:row>
          <xdr:rowOff>142875</xdr:rowOff>
        </xdr:from>
        <xdr:to>
          <xdr:col>3</xdr:col>
          <xdr:colOff>47625</xdr:colOff>
          <xdr:row>294</xdr:row>
          <xdr:rowOff>161925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293</xdr:row>
          <xdr:rowOff>9525</xdr:rowOff>
        </xdr:from>
        <xdr:to>
          <xdr:col>5</xdr:col>
          <xdr:colOff>762000</xdr:colOff>
          <xdr:row>295</xdr:row>
          <xdr:rowOff>85725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38100</xdr:rowOff>
        </xdr:from>
        <xdr:to>
          <xdr:col>1</xdr:col>
          <xdr:colOff>514350</xdr:colOff>
          <xdr:row>299</xdr:row>
          <xdr:rowOff>76200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Verdadero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297</xdr:row>
          <xdr:rowOff>142875</xdr:rowOff>
        </xdr:from>
        <xdr:to>
          <xdr:col>3</xdr:col>
          <xdr:colOff>47625</xdr:colOff>
          <xdr:row>298</xdr:row>
          <xdr:rowOff>161925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estoy seguro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297</xdr:row>
          <xdr:rowOff>9525</xdr:rowOff>
        </xdr:from>
        <xdr:to>
          <xdr:col>5</xdr:col>
          <xdr:colOff>209550</xdr:colOff>
          <xdr:row>299</xdr:row>
          <xdr:rowOff>85725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38100</xdr:rowOff>
        </xdr:from>
        <xdr:to>
          <xdr:col>1</xdr:col>
          <xdr:colOff>514350</xdr:colOff>
          <xdr:row>303</xdr:row>
          <xdr:rowOff>76200</xdr:rowOff>
        </xdr:to>
        <xdr:sp macro="" textlink="">
          <xdr:nvSpPr>
            <xdr:cNvPr id="1247" name="Check Box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Frecuentemente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301</xdr:row>
          <xdr:rowOff>142875</xdr:rowOff>
        </xdr:from>
        <xdr:to>
          <xdr:col>3</xdr:col>
          <xdr:colOff>47625</xdr:colOff>
          <xdr:row>302</xdr:row>
          <xdr:rowOff>161925</xdr:rowOff>
        </xdr:to>
        <xdr:sp macro="" textlink="">
          <xdr:nvSpPr>
            <xdr:cNvPr id="1248" name="Check Box 224" hidden="1">
              <a:extLst>
                <a:ext uri="{63B3BB69-23CF-44E3-9099-C40C66FF867C}">
                  <a14:compatExt spid="_x0000_s1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Ocasionalmente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301</xdr:row>
          <xdr:rowOff>9525</xdr:rowOff>
        </xdr:from>
        <xdr:to>
          <xdr:col>5</xdr:col>
          <xdr:colOff>790575</xdr:colOff>
          <xdr:row>303</xdr:row>
          <xdr:rowOff>85725</xdr:rowOff>
        </xdr:to>
        <xdr:sp macro="" textlink="">
          <xdr:nvSpPr>
            <xdr:cNvPr id="1249" name="Check Box 225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Nunca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38100</xdr:rowOff>
        </xdr:from>
        <xdr:to>
          <xdr:col>1</xdr:col>
          <xdr:colOff>514350</xdr:colOff>
          <xdr:row>307</xdr:row>
          <xdr:rowOff>76200</xdr:rowOff>
        </xdr:to>
        <xdr:sp macro="" textlink="">
          <xdr:nvSpPr>
            <xdr:cNvPr id="1250" name="Check Box 226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305</xdr:row>
          <xdr:rowOff>142875</xdr:rowOff>
        </xdr:from>
        <xdr:to>
          <xdr:col>3</xdr:col>
          <xdr:colOff>47625</xdr:colOff>
          <xdr:row>306</xdr:row>
          <xdr:rowOff>161925</xdr:rowOff>
        </xdr:to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305</xdr:row>
          <xdr:rowOff>9525</xdr:rowOff>
        </xdr:from>
        <xdr:to>
          <xdr:col>5</xdr:col>
          <xdr:colOff>762000</xdr:colOff>
          <xdr:row>307</xdr:row>
          <xdr:rowOff>85725</xdr:rowOff>
        </xdr:to>
        <xdr:sp macro="" textlink="">
          <xdr:nvSpPr>
            <xdr:cNvPr id="1252" name="Check Box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38100</xdr:rowOff>
        </xdr:from>
        <xdr:to>
          <xdr:col>1</xdr:col>
          <xdr:colOff>542925</xdr:colOff>
          <xdr:row>311</xdr:row>
          <xdr:rowOff>161925</xdr:rowOff>
        </xdr:to>
        <xdr:sp macro="" textlink="">
          <xdr:nvSpPr>
            <xdr:cNvPr id="1253" name="Check Box 229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Perfeccionarlo en el laboratorio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309</xdr:row>
          <xdr:rowOff>142875</xdr:rowOff>
        </xdr:from>
        <xdr:to>
          <xdr:col>3</xdr:col>
          <xdr:colOff>47625</xdr:colOff>
          <xdr:row>310</xdr:row>
          <xdr:rowOff>161925</xdr:rowOff>
        </xdr:to>
        <xdr:sp macro="" textlink="">
          <xdr:nvSpPr>
            <xdr:cNvPr id="1254" name="Check Box 230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309</xdr:row>
          <xdr:rowOff>9525</xdr:rowOff>
        </xdr:from>
        <xdr:to>
          <xdr:col>6</xdr:col>
          <xdr:colOff>114300</xdr:colOff>
          <xdr:row>311</xdr:row>
          <xdr:rowOff>85725</xdr:rowOff>
        </xdr:to>
        <xdr:sp macro="" textlink="">
          <xdr:nvSpPr>
            <xdr:cNvPr id="1255" name="Check Box 231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Vendérselo a la gente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38100</xdr:rowOff>
        </xdr:from>
        <xdr:to>
          <xdr:col>1</xdr:col>
          <xdr:colOff>514350</xdr:colOff>
          <xdr:row>315</xdr:row>
          <xdr:rowOff>76200</xdr:rowOff>
        </xdr:to>
        <xdr:sp macro="" textlink="">
          <xdr:nvSpPr>
            <xdr:cNvPr id="1256" name="Check Box 232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Valiente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313</xdr:row>
          <xdr:rowOff>142875</xdr:rowOff>
        </xdr:from>
        <xdr:to>
          <xdr:col>3</xdr:col>
          <xdr:colOff>47625</xdr:colOff>
          <xdr:row>314</xdr:row>
          <xdr:rowOff>161925</xdr:rowOff>
        </xdr:to>
        <xdr:sp macro="" textlink="">
          <xdr:nvSpPr>
            <xdr:cNvPr id="1257" name="Check Box 233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Ansioso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313</xdr:row>
          <xdr:rowOff>9525</xdr:rowOff>
        </xdr:from>
        <xdr:to>
          <xdr:col>6</xdr:col>
          <xdr:colOff>114300</xdr:colOff>
          <xdr:row>315</xdr:row>
          <xdr:rowOff>85725</xdr:rowOff>
        </xdr:to>
        <xdr:sp macro="" textlink="">
          <xdr:nvSpPr>
            <xdr:cNvPr id="1258" name="Check Box 23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Terrible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38100</xdr:rowOff>
        </xdr:from>
        <xdr:to>
          <xdr:col>1</xdr:col>
          <xdr:colOff>514350</xdr:colOff>
          <xdr:row>319</xdr:row>
          <xdr:rowOff>76200</xdr:rowOff>
        </xdr:to>
        <xdr:sp macro="" textlink="">
          <xdr:nvSpPr>
            <xdr:cNvPr id="1259" name="Check Box 23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3/7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317</xdr:row>
          <xdr:rowOff>142875</xdr:rowOff>
        </xdr:from>
        <xdr:to>
          <xdr:col>3</xdr:col>
          <xdr:colOff>47625</xdr:colOff>
          <xdr:row>318</xdr:row>
          <xdr:rowOff>161925</xdr:rowOff>
        </xdr:to>
        <xdr:sp macro="" textlink="">
          <xdr:nvSpPr>
            <xdr:cNvPr id="1260" name="Check Box 23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12/28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317</xdr:row>
          <xdr:rowOff>9525</xdr:rowOff>
        </xdr:from>
        <xdr:to>
          <xdr:col>6</xdr:col>
          <xdr:colOff>114300</xdr:colOff>
          <xdr:row>319</xdr:row>
          <xdr:rowOff>85725</xdr:rowOff>
        </xdr:to>
        <xdr:sp macro="" textlink="">
          <xdr:nvSpPr>
            <xdr:cNvPr id="1261" name="Check Box 23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3/11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38100</xdr:rowOff>
        </xdr:from>
        <xdr:to>
          <xdr:col>1</xdr:col>
          <xdr:colOff>514350</xdr:colOff>
          <xdr:row>323</xdr:row>
          <xdr:rowOff>76200</xdr:rowOff>
        </xdr:to>
        <xdr:sp macro="" textlink="">
          <xdr:nvSpPr>
            <xdr:cNvPr id="1262" name="Check Box 23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321</xdr:row>
          <xdr:rowOff>142875</xdr:rowOff>
        </xdr:from>
        <xdr:to>
          <xdr:col>3</xdr:col>
          <xdr:colOff>47625</xdr:colOff>
          <xdr:row>322</xdr:row>
          <xdr:rowOff>161925</xdr:rowOff>
        </xdr:to>
        <xdr:sp macro="" textlink="">
          <xdr:nvSpPr>
            <xdr:cNvPr id="1263" name="Check Box 23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321</xdr:row>
          <xdr:rowOff>9525</xdr:rowOff>
        </xdr:from>
        <xdr:to>
          <xdr:col>6</xdr:col>
          <xdr:colOff>114300</xdr:colOff>
          <xdr:row>323</xdr:row>
          <xdr:rowOff>85725</xdr:rowOff>
        </xdr:to>
        <xdr:sp macro="" textlink="">
          <xdr:nvSpPr>
            <xdr:cNvPr id="1264" name="Check Box 24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38100</xdr:rowOff>
        </xdr:from>
        <xdr:to>
          <xdr:col>1</xdr:col>
          <xdr:colOff>514350</xdr:colOff>
          <xdr:row>327</xdr:row>
          <xdr:rowOff>76200</xdr:rowOff>
        </xdr:to>
        <xdr:sp macro="" textlink="">
          <xdr:nvSpPr>
            <xdr:cNvPr id="1265" name="Check Box 24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menudo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325</xdr:row>
          <xdr:rowOff>142875</xdr:rowOff>
        </xdr:from>
        <xdr:to>
          <xdr:col>3</xdr:col>
          <xdr:colOff>47625</xdr:colOff>
          <xdr:row>326</xdr:row>
          <xdr:rowOff>161925</xdr:rowOff>
        </xdr:to>
        <xdr:sp macro="" textlink="">
          <xdr:nvSpPr>
            <xdr:cNvPr id="1266" name="Check Box 24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Ocasionalmente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325</xdr:row>
          <xdr:rowOff>9525</xdr:rowOff>
        </xdr:from>
        <xdr:to>
          <xdr:col>6</xdr:col>
          <xdr:colOff>114300</xdr:colOff>
          <xdr:row>327</xdr:row>
          <xdr:rowOff>85725</xdr:rowOff>
        </xdr:to>
        <xdr:sp macro="" textlink="">
          <xdr:nvSpPr>
            <xdr:cNvPr id="1267" name="Check Box 24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Nunca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38100</xdr:rowOff>
        </xdr:from>
        <xdr:to>
          <xdr:col>1</xdr:col>
          <xdr:colOff>514350</xdr:colOff>
          <xdr:row>259</xdr:row>
          <xdr:rowOff>76200</xdr:rowOff>
        </xdr:to>
        <xdr:sp macro="" textlink="">
          <xdr:nvSpPr>
            <xdr:cNvPr id="1268" name="Check Box 24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Trato de calmarlo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257</xdr:row>
          <xdr:rowOff>142875</xdr:rowOff>
        </xdr:from>
        <xdr:to>
          <xdr:col>3</xdr:col>
          <xdr:colOff>47625</xdr:colOff>
          <xdr:row>258</xdr:row>
          <xdr:rowOff>161925</xdr:rowOff>
        </xdr:to>
        <xdr:sp macro="" textlink="">
          <xdr:nvSpPr>
            <xdr:cNvPr id="1269" name="Check Box 24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257</xdr:row>
          <xdr:rowOff>9525</xdr:rowOff>
        </xdr:from>
        <xdr:to>
          <xdr:col>5</xdr:col>
          <xdr:colOff>628650</xdr:colOff>
          <xdr:row>259</xdr:row>
          <xdr:rowOff>85725</xdr:rowOff>
        </xdr:to>
        <xdr:sp macro="" textlink="">
          <xdr:nvSpPr>
            <xdr:cNvPr id="1270" name="Check Box 24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 irrito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38100</xdr:rowOff>
        </xdr:from>
        <xdr:to>
          <xdr:col>1</xdr:col>
          <xdr:colOff>514350</xdr:colOff>
          <xdr:row>331</xdr:row>
          <xdr:rowOff>76200</xdr:rowOff>
        </xdr:to>
        <xdr:sp macro="" textlink="">
          <xdr:nvSpPr>
            <xdr:cNvPr id="1271" name="Check Box 24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329</xdr:row>
          <xdr:rowOff>142875</xdr:rowOff>
        </xdr:from>
        <xdr:to>
          <xdr:col>3</xdr:col>
          <xdr:colOff>47625</xdr:colOff>
          <xdr:row>330</xdr:row>
          <xdr:rowOff>161925</xdr:rowOff>
        </xdr:to>
        <xdr:sp macro="" textlink="">
          <xdr:nvSpPr>
            <xdr:cNvPr id="1272" name="Check Box 24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329</xdr:row>
          <xdr:rowOff>9525</xdr:rowOff>
        </xdr:from>
        <xdr:to>
          <xdr:col>6</xdr:col>
          <xdr:colOff>114300</xdr:colOff>
          <xdr:row>331</xdr:row>
          <xdr:rowOff>85725</xdr:rowOff>
        </xdr:to>
        <xdr:sp macro="" textlink="">
          <xdr:nvSpPr>
            <xdr:cNvPr id="1273" name="Check Box 24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38100</xdr:rowOff>
        </xdr:from>
        <xdr:to>
          <xdr:col>1</xdr:col>
          <xdr:colOff>514350</xdr:colOff>
          <xdr:row>335</xdr:row>
          <xdr:rowOff>76200</xdr:rowOff>
        </xdr:to>
        <xdr:sp macro="" textlink="">
          <xdr:nvSpPr>
            <xdr:cNvPr id="1274" name="Check Box 25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333</xdr:row>
          <xdr:rowOff>142875</xdr:rowOff>
        </xdr:from>
        <xdr:to>
          <xdr:col>3</xdr:col>
          <xdr:colOff>47625</xdr:colOff>
          <xdr:row>334</xdr:row>
          <xdr:rowOff>161925</xdr:rowOff>
        </xdr:to>
        <xdr:sp macro="" textlink="">
          <xdr:nvSpPr>
            <xdr:cNvPr id="1275" name="Check Box 25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 duda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333</xdr:row>
          <xdr:rowOff>9525</xdr:rowOff>
        </xdr:from>
        <xdr:to>
          <xdr:col>6</xdr:col>
          <xdr:colOff>114300</xdr:colOff>
          <xdr:row>335</xdr:row>
          <xdr:rowOff>85725</xdr:rowOff>
        </xdr:to>
        <xdr:sp macro="" textlink="">
          <xdr:nvSpPr>
            <xdr:cNvPr id="1276" name="Check Box 25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38100</xdr:rowOff>
        </xdr:from>
        <xdr:to>
          <xdr:col>1</xdr:col>
          <xdr:colOff>514350</xdr:colOff>
          <xdr:row>339</xdr:row>
          <xdr:rowOff>76200</xdr:rowOff>
        </xdr:to>
        <xdr:sp macro="" textlink="">
          <xdr:nvSpPr>
            <xdr:cNvPr id="1277" name="Check Box 25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337</xdr:row>
          <xdr:rowOff>142875</xdr:rowOff>
        </xdr:from>
        <xdr:to>
          <xdr:col>3</xdr:col>
          <xdr:colOff>47625</xdr:colOff>
          <xdr:row>338</xdr:row>
          <xdr:rowOff>161925</xdr:rowOff>
        </xdr:to>
        <xdr:sp macro="" textlink="">
          <xdr:nvSpPr>
            <xdr:cNvPr id="1278" name="Check Box 25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337</xdr:row>
          <xdr:rowOff>9525</xdr:rowOff>
        </xdr:from>
        <xdr:to>
          <xdr:col>6</xdr:col>
          <xdr:colOff>114300</xdr:colOff>
          <xdr:row>339</xdr:row>
          <xdr:rowOff>85725</xdr:rowOff>
        </xdr:to>
        <xdr:sp macro="" textlink="">
          <xdr:nvSpPr>
            <xdr:cNvPr id="1279" name="Check Box 25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38100</xdr:rowOff>
        </xdr:from>
        <xdr:to>
          <xdr:col>1</xdr:col>
          <xdr:colOff>514350</xdr:colOff>
          <xdr:row>343</xdr:row>
          <xdr:rowOff>76200</xdr:rowOff>
        </xdr:to>
        <xdr:sp macro="" textlink="">
          <xdr:nvSpPr>
            <xdr:cNvPr id="1280" name="Check Box 25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341</xdr:row>
          <xdr:rowOff>142875</xdr:rowOff>
        </xdr:from>
        <xdr:to>
          <xdr:col>3</xdr:col>
          <xdr:colOff>47625</xdr:colOff>
          <xdr:row>342</xdr:row>
          <xdr:rowOff>161925</xdr:rowOff>
        </xdr:to>
        <xdr:sp macro="" textlink="">
          <xdr:nvSpPr>
            <xdr:cNvPr id="1281" name="Check Box 25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Término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341</xdr:row>
          <xdr:rowOff>9525</xdr:rowOff>
        </xdr:from>
        <xdr:to>
          <xdr:col>6</xdr:col>
          <xdr:colOff>114300</xdr:colOff>
          <xdr:row>343</xdr:row>
          <xdr:rowOff>85725</xdr:rowOff>
        </xdr:to>
        <xdr:sp macro="" textlink="">
          <xdr:nvSpPr>
            <xdr:cNvPr id="1282" name="Check Box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38100</xdr:rowOff>
        </xdr:from>
        <xdr:to>
          <xdr:col>1</xdr:col>
          <xdr:colOff>514350</xdr:colOff>
          <xdr:row>347</xdr:row>
          <xdr:rowOff>76200</xdr:rowOff>
        </xdr:to>
        <xdr:sp macro="" textlink="">
          <xdr:nvSpPr>
            <xdr:cNvPr id="1283" name="Check Box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Muy frecuentemente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345</xdr:row>
          <xdr:rowOff>142875</xdr:rowOff>
        </xdr:from>
        <xdr:to>
          <xdr:col>3</xdr:col>
          <xdr:colOff>47625</xdr:colOff>
          <xdr:row>346</xdr:row>
          <xdr:rowOff>161925</xdr:rowOff>
        </xdr:to>
        <xdr:sp macro="" textlink="">
          <xdr:nvSpPr>
            <xdr:cNvPr id="1284" name="Check Box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Ocasionalmente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345</xdr:row>
          <xdr:rowOff>9525</xdr:rowOff>
        </xdr:from>
        <xdr:to>
          <xdr:col>6</xdr:col>
          <xdr:colOff>114300</xdr:colOff>
          <xdr:row>347</xdr:row>
          <xdr:rowOff>85725</xdr:rowOff>
        </xdr:to>
        <xdr:sp macro="" textlink="">
          <xdr:nvSpPr>
            <xdr:cNvPr id="1285" name="Check Box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 nunca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353</xdr:row>
          <xdr:rowOff>47625</xdr:rowOff>
        </xdr:from>
        <xdr:to>
          <xdr:col>1</xdr:col>
          <xdr:colOff>533400</xdr:colOff>
          <xdr:row>355</xdr:row>
          <xdr:rowOff>85725</xdr:rowOff>
        </xdr:to>
        <xdr:sp macro="" textlink="">
          <xdr:nvSpPr>
            <xdr:cNvPr id="1289" name="Check Box 26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Una narración realista de batallas militares o políticas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353</xdr:row>
          <xdr:rowOff>142875</xdr:rowOff>
        </xdr:from>
        <xdr:to>
          <xdr:col>3</xdr:col>
          <xdr:colOff>47625</xdr:colOff>
          <xdr:row>354</xdr:row>
          <xdr:rowOff>161925</xdr:rowOff>
        </xdr:to>
        <xdr:sp macro="" textlink="">
          <xdr:nvSpPr>
            <xdr:cNvPr id="1290" name="Check Box 26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352</xdr:row>
          <xdr:rowOff>114300</xdr:rowOff>
        </xdr:from>
        <xdr:to>
          <xdr:col>6</xdr:col>
          <xdr:colOff>114300</xdr:colOff>
          <xdr:row>355</xdr:row>
          <xdr:rowOff>85725</xdr:rowOff>
        </xdr:to>
        <xdr:sp macro="" textlink="">
          <xdr:nvSpPr>
            <xdr:cNvPr id="1291" name="Check Box 26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Una novela sentimental o imaginativa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38100</xdr:rowOff>
        </xdr:from>
        <xdr:to>
          <xdr:col>1</xdr:col>
          <xdr:colOff>514350</xdr:colOff>
          <xdr:row>359</xdr:row>
          <xdr:rowOff>76200</xdr:rowOff>
        </xdr:to>
        <xdr:sp macro="" textlink="">
          <xdr:nvSpPr>
            <xdr:cNvPr id="1292" name="Check Box 26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357</xdr:row>
          <xdr:rowOff>142875</xdr:rowOff>
        </xdr:from>
        <xdr:to>
          <xdr:col>3</xdr:col>
          <xdr:colOff>47625</xdr:colOff>
          <xdr:row>358</xdr:row>
          <xdr:rowOff>161925</xdr:rowOff>
        </xdr:to>
        <xdr:sp macro="" textlink="">
          <xdr:nvSpPr>
            <xdr:cNvPr id="1293" name="Check Box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Término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357</xdr:row>
          <xdr:rowOff>9525</xdr:rowOff>
        </xdr:from>
        <xdr:to>
          <xdr:col>6</xdr:col>
          <xdr:colOff>114300</xdr:colOff>
          <xdr:row>359</xdr:row>
          <xdr:rowOff>85725</xdr:rowOff>
        </xdr:to>
        <xdr:sp macro="" textlink="">
          <xdr:nvSpPr>
            <xdr:cNvPr id="1294" name="Check Box 27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38100</xdr:rowOff>
        </xdr:from>
        <xdr:to>
          <xdr:col>1</xdr:col>
          <xdr:colOff>542925</xdr:colOff>
          <xdr:row>371</xdr:row>
          <xdr:rowOff>152400</xdr:rowOff>
        </xdr:to>
        <xdr:sp macro="" textlink="">
          <xdr:nvSpPr>
            <xdr:cNvPr id="1301" name="Check Box 27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Leer algo serio pero interesante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369</xdr:row>
          <xdr:rowOff>142875</xdr:rowOff>
        </xdr:from>
        <xdr:to>
          <xdr:col>3</xdr:col>
          <xdr:colOff>47625</xdr:colOff>
          <xdr:row>370</xdr:row>
          <xdr:rowOff>161925</xdr:rowOff>
        </xdr:to>
        <xdr:sp macro="" textlink="">
          <xdr:nvSpPr>
            <xdr:cNvPr id="1302" name="Check Box 27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369</xdr:row>
          <xdr:rowOff>9525</xdr:rowOff>
        </xdr:from>
        <xdr:to>
          <xdr:col>6</xdr:col>
          <xdr:colOff>114300</xdr:colOff>
          <xdr:row>371</xdr:row>
          <xdr:rowOff>85725</xdr:rowOff>
        </xdr:to>
        <xdr:sp macro="" textlink="">
          <xdr:nvSpPr>
            <xdr:cNvPr id="1303" name="Check Box 27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Platicar con el pasajero de junto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38100</xdr:rowOff>
        </xdr:from>
        <xdr:to>
          <xdr:col>1</xdr:col>
          <xdr:colOff>514350</xdr:colOff>
          <xdr:row>375</xdr:row>
          <xdr:rowOff>76200</xdr:rowOff>
        </xdr:to>
        <xdr:sp macro="" textlink="">
          <xdr:nvSpPr>
            <xdr:cNvPr id="1304" name="Check Box 28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373</xdr:row>
          <xdr:rowOff>142875</xdr:rowOff>
        </xdr:from>
        <xdr:to>
          <xdr:col>3</xdr:col>
          <xdr:colOff>47625</xdr:colOff>
          <xdr:row>374</xdr:row>
          <xdr:rowOff>161925</xdr:rowOff>
        </xdr:to>
        <xdr:sp macro="" textlink="">
          <xdr:nvSpPr>
            <xdr:cNvPr id="1305" name="Check Box 28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373</xdr:row>
          <xdr:rowOff>9525</xdr:rowOff>
        </xdr:from>
        <xdr:to>
          <xdr:col>6</xdr:col>
          <xdr:colOff>114300</xdr:colOff>
          <xdr:row>375</xdr:row>
          <xdr:rowOff>85725</xdr:rowOff>
        </xdr:to>
        <xdr:sp macro="" textlink="">
          <xdr:nvSpPr>
            <xdr:cNvPr id="1306" name="Check Box 28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38100</xdr:rowOff>
        </xdr:from>
        <xdr:to>
          <xdr:col>1</xdr:col>
          <xdr:colOff>514350</xdr:colOff>
          <xdr:row>379</xdr:row>
          <xdr:rowOff>76200</xdr:rowOff>
        </xdr:to>
        <xdr:sp macro="" textlink="">
          <xdr:nvSpPr>
            <xdr:cNvPr id="1307" name="Check Box 28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 importa poco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377</xdr:row>
          <xdr:rowOff>142875</xdr:rowOff>
        </xdr:from>
        <xdr:to>
          <xdr:col>3</xdr:col>
          <xdr:colOff>47625</xdr:colOff>
          <xdr:row>378</xdr:row>
          <xdr:rowOff>161925</xdr:rowOff>
        </xdr:to>
        <xdr:sp macro="" textlink="">
          <xdr:nvSpPr>
            <xdr:cNvPr id="1308" name="Check Box 28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377</xdr:row>
          <xdr:rowOff>9525</xdr:rowOff>
        </xdr:from>
        <xdr:to>
          <xdr:col>6</xdr:col>
          <xdr:colOff>114300</xdr:colOff>
          <xdr:row>379</xdr:row>
          <xdr:rowOff>85725</xdr:rowOff>
        </xdr:to>
        <xdr:sp macro="" textlink="">
          <xdr:nvSpPr>
            <xdr:cNvPr id="1309" name="Check Box 28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 pongo triste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38100</xdr:rowOff>
        </xdr:from>
        <xdr:to>
          <xdr:col>1</xdr:col>
          <xdr:colOff>514350</xdr:colOff>
          <xdr:row>383</xdr:row>
          <xdr:rowOff>76200</xdr:rowOff>
        </xdr:to>
        <xdr:sp macro="" textlink="">
          <xdr:nvSpPr>
            <xdr:cNvPr id="1310" name="Check Box 28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381</xdr:row>
          <xdr:rowOff>142875</xdr:rowOff>
        </xdr:from>
        <xdr:to>
          <xdr:col>3</xdr:col>
          <xdr:colOff>47625</xdr:colOff>
          <xdr:row>382</xdr:row>
          <xdr:rowOff>161925</xdr:rowOff>
        </xdr:to>
        <xdr:sp macro="" textlink="">
          <xdr:nvSpPr>
            <xdr:cNvPr id="1311" name="Check Box 28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381</xdr:row>
          <xdr:rowOff>9525</xdr:rowOff>
        </xdr:from>
        <xdr:to>
          <xdr:col>6</xdr:col>
          <xdr:colOff>114300</xdr:colOff>
          <xdr:row>383</xdr:row>
          <xdr:rowOff>85725</xdr:rowOff>
        </xdr:to>
        <xdr:sp macro="" textlink="">
          <xdr:nvSpPr>
            <xdr:cNvPr id="1312" name="Check Box 28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38100</xdr:rowOff>
        </xdr:from>
        <xdr:to>
          <xdr:col>1</xdr:col>
          <xdr:colOff>514350</xdr:colOff>
          <xdr:row>387</xdr:row>
          <xdr:rowOff>76200</xdr:rowOff>
        </xdr:to>
        <xdr:sp macro="" textlink="">
          <xdr:nvSpPr>
            <xdr:cNvPr id="1313" name="Check Box 28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 sueldo fijo y seguro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385</xdr:row>
          <xdr:rowOff>142875</xdr:rowOff>
        </xdr:from>
        <xdr:to>
          <xdr:col>3</xdr:col>
          <xdr:colOff>200025</xdr:colOff>
          <xdr:row>386</xdr:row>
          <xdr:rowOff>152400</xdr:rowOff>
        </xdr:to>
        <xdr:sp macro="" textlink="">
          <xdr:nvSpPr>
            <xdr:cNvPr id="1314" name="Check Box 29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385</xdr:row>
          <xdr:rowOff>9525</xdr:rowOff>
        </xdr:from>
        <xdr:to>
          <xdr:col>6</xdr:col>
          <xdr:colOff>114300</xdr:colOff>
          <xdr:row>387</xdr:row>
          <xdr:rowOff>85725</xdr:rowOff>
        </xdr:to>
        <xdr:sp macro="" textlink="">
          <xdr:nvSpPr>
            <xdr:cNvPr id="1315" name="Check Box 29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 sueldo lo bastante alto que dependiera de mi constanye persuasión a gente que me desagrada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38100</xdr:rowOff>
        </xdr:from>
        <xdr:to>
          <xdr:col>1</xdr:col>
          <xdr:colOff>514350</xdr:colOff>
          <xdr:row>391</xdr:row>
          <xdr:rowOff>76200</xdr:rowOff>
        </xdr:to>
        <xdr:sp macro="" textlink="">
          <xdr:nvSpPr>
            <xdr:cNvPr id="1316" name="Check Box 29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Discutir los asuntos con las personas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389</xdr:row>
          <xdr:rowOff>142875</xdr:rowOff>
        </xdr:from>
        <xdr:to>
          <xdr:col>3</xdr:col>
          <xdr:colOff>200025</xdr:colOff>
          <xdr:row>390</xdr:row>
          <xdr:rowOff>152400</xdr:rowOff>
        </xdr:to>
        <xdr:sp macro="" textlink="">
          <xdr:nvSpPr>
            <xdr:cNvPr id="1317" name="Check Box 29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389</xdr:row>
          <xdr:rowOff>9525</xdr:rowOff>
        </xdr:from>
        <xdr:to>
          <xdr:col>6</xdr:col>
          <xdr:colOff>114300</xdr:colOff>
          <xdr:row>391</xdr:row>
          <xdr:rowOff>85725</xdr:rowOff>
        </xdr:to>
        <xdr:sp macro="" textlink="">
          <xdr:nvSpPr>
            <xdr:cNvPr id="1318" name="Check Box 29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Leer las noticias en portales y diarios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38100</xdr:rowOff>
        </xdr:from>
        <xdr:to>
          <xdr:col>1</xdr:col>
          <xdr:colOff>514350</xdr:colOff>
          <xdr:row>395</xdr:row>
          <xdr:rowOff>76200</xdr:rowOff>
        </xdr:to>
        <xdr:sp macro="" textlink="">
          <xdr:nvSpPr>
            <xdr:cNvPr id="1319" name="Check Box 29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393</xdr:row>
          <xdr:rowOff>142875</xdr:rowOff>
        </xdr:from>
        <xdr:to>
          <xdr:col>3</xdr:col>
          <xdr:colOff>47625</xdr:colOff>
          <xdr:row>394</xdr:row>
          <xdr:rowOff>161925</xdr:rowOff>
        </xdr:to>
        <xdr:sp macro="" textlink="">
          <xdr:nvSpPr>
            <xdr:cNvPr id="1320" name="Check Box 29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393</xdr:row>
          <xdr:rowOff>9525</xdr:rowOff>
        </xdr:from>
        <xdr:to>
          <xdr:col>6</xdr:col>
          <xdr:colOff>114300</xdr:colOff>
          <xdr:row>395</xdr:row>
          <xdr:rowOff>85725</xdr:rowOff>
        </xdr:to>
        <xdr:sp macro="" textlink="">
          <xdr:nvSpPr>
            <xdr:cNvPr id="1321" name="Check Box 29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38100</xdr:rowOff>
        </xdr:from>
        <xdr:to>
          <xdr:col>1</xdr:col>
          <xdr:colOff>514350</xdr:colOff>
          <xdr:row>399</xdr:row>
          <xdr:rowOff>76200</xdr:rowOff>
        </xdr:to>
        <xdr:sp macro="" textlink="">
          <xdr:nvSpPr>
            <xdr:cNvPr id="1322" name="Check Box 29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397</xdr:row>
          <xdr:rowOff>142875</xdr:rowOff>
        </xdr:from>
        <xdr:to>
          <xdr:col>3</xdr:col>
          <xdr:colOff>266700</xdr:colOff>
          <xdr:row>398</xdr:row>
          <xdr:rowOff>190500</xdr:rowOff>
        </xdr:to>
        <xdr:sp macro="" textlink="">
          <xdr:nvSpPr>
            <xdr:cNvPr id="1323" name="Check Box 29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397</xdr:row>
          <xdr:rowOff>9525</xdr:rowOff>
        </xdr:from>
        <xdr:to>
          <xdr:col>6</xdr:col>
          <xdr:colOff>114300</xdr:colOff>
          <xdr:row>399</xdr:row>
          <xdr:rowOff>85725</xdr:rowOff>
        </xdr:to>
        <xdr:sp macro="" textlink="">
          <xdr:nvSpPr>
            <xdr:cNvPr id="1324" name="Check Box 30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38100</xdr:rowOff>
        </xdr:from>
        <xdr:to>
          <xdr:col>1</xdr:col>
          <xdr:colOff>514350</xdr:colOff>
          <xdr:row>403</xdr:row>
          <xdr:rowOff>76200</xdr:rowOff>
        </xdr:to>
        <xdr:sp macro="" textlink="">
          <xdr:nvSpPr>
            <xdr:cNvPr id="1325" name="Check Box 30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401</xdr:row>
          <xdr:rowOff>142875</xdr:rowOff>
        </xdr:from>
        <xdr:to>
          <xdr:col>3</xdr:col>
          <xdr:colOff>171450</xdr:colOff>
          <xdr:row>402</xdr:row>
          <xdr:rowOff>152400</xdr:rowOff>
        </xdr:to>
        <xdr:sp macro="" textlink="">
          <xdr:nvSpPr>
            <xdr:cNvPr id="1326" name="Check Box 30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401</xdr:row>
          <xdr:rowOff>9525</xdr:rowOff>
        </xdr:from>
        <xdr:to>
          <xdr:col>6</xdr:col>
          <xdr:colOff>114300</xdr:colOff>
          <xdr:row>403</xdr:row>
          <xdr:rowOff>85725</xdr:rowOff>
        </xdr:to>
        <xdr:sp macro="" textlink="">
          <xdr:nvSpPr>
            <xdr:cNvPr id="1327" name="Check Box 30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38100</xdr:rowOff>
        </xdr:from>
        <xdr:to>
          <xdr:col>1</xdr:col>
          <xdr:colOff>514350</xdr:colOff>
          <xdr:row>407</xdr:row>
          <xdr:rowOff>76200</xdr:rowOff>
        </xdr:to>
        <xdr:sp macro="" textlink="">
          <xdr:nvSpPr>
            <xdr:cNvPr id="1328" name="Check Box 30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405</xdr:row>
          <xdr:rowOff>142875</xdr:rowOff>
        </xdr:from>
        <xdr:to>
          <xdr:col>3</xdr:col>
          <xdr:colOff>95250</xdr:colOff>
          <xdr:row>406</xdr:row>
          <xdr:rowOff>180975</xdr:rowOff>
        </xdr:to>
        <xdr:sp macro="" textlink="">
          <xdr:nvSpPr>
            <xdr:cNvPr id="1329" name="Check Box 30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405</xdr:row>
          <xdr:rowOff>9525</xdr:rowOff>
        </xdr:from>
        <xdr:to>
          <xdr:col>6</xdr:col>
          <xdr:colOff>114300</xdr:colOff>
          <xdr:row>407</xdr:row>
          <xdr:rowOff>85725</xdr:rowOff>
        </xdr:to>
        <xdr:sp macro="" textlink="">
          <xdr:nvSpPr>
            <xdr:cNvPr id="1330" name="Check Box 30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38100</xdr:rowOff>
        </xdr:from>
        <xdr:to>
          <xdr:col>1</xdr:col>
          <xdr:colOff>514350</xdr:colOff>
          <xdr:row>351</xdr:row>
          <xdr:rowOff>190500</xdr:rowOff>
        </xdr:to>
        <xdr:sp macro="" textlink="">
          <xdr:nvSpPr>
            <xdr:cNvPr id="1331" name="Check Box 30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349</xdr:row>
          <xdr:rowOff>142875</xdr:rowOff>
        </xdr:from>
        <xdr:to>
          <xdr:col>3</xdr:col>
          <xdr:colOff>47625</xdr:colOff>
          <xdr:row>350</xdr:row>
          <xdr:rowOff>161925</xdr:rowOff>
        </xdr:to>
        <xdr:sp macro="" textlink="">
          <xdr:nvSpPr>
            <xdr:cNvPr id="1332" name="Check Box 30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349</xdr:row>
          <xdr:rowOff>9525</xdr:rowOff>
        </xdr:from>
        <xdr:to>
          <xdr:col>6</xdr:col>
          <xdr:colOff>114300</xdr:colOff>
          <xdr:row>351</xdr:row>
          <xdr:rowOff>85725</xdr:rowOff>
        </xdr:to>
        <xdr:sp macro="" textlink="">
          <xdr:nvSpPr>
            <xdr:cNvPr id="1333" name="Check Box 30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38100</xdr:rowOff>
        </xdr:from>
        <xdr:to>
          <xdr:col>1</xdr:col>
          <xdr:colOff>514350</xdr:colOff>
          <xdr:row>363</xdr:row>
          <xdr:rowOff>76200</xdr:rowOff>
        </xdr:to>
        <xdr:sp macro="" textlink="">
          <xdr:nvSpPr>
            <xdr:cNvPr id="1334" name="Check Box 31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361</xdr:row>
          <xdr:rowOff>142875</xdr:rowOff>
        </xdr:from>
        <xdr:to>
          <xdr:col>3</xdr:col>
          <xdr:colOff>47625</xdr:colOff>
          <xdr:row>362</xdr:row>
          <xdr:rowOff>161925</xdr:rowOff>
        </xdr:to>
        <xdr:sp macro="" textlink="">
          <xdr:nvSpPr>
            <xdr:cNvPr id="1335" name="Check Box 31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Término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361</xdr:row>
          <xdr:rowOff>9525</xdr:rowOff>
        </xdr:from>
        <xdr:to>
          <xdr:col>6</xdr:col>
          <xdr:colOff>114300</xdr:colOff>
          <xdr:row>363</xdr:row>
          <xdr:rowOff>85725</xdr:rowOff>
        </xdr:to>
        <xdr:sp macro="" textlink="">
          <xdr:nvSpPr>
            <xdr:cNvPr id="1336" name="Check Box 31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47625</xdr:rowOff>
        </xdr:from>
        <xdr:to>
          <xdr:col>1</xdr:col>
          <xdr:colOff>514350</xdr:colOff>
          <xdr:row>367</xdr:row>
          <xdr:rowOff>85725</xdr:rowOff>
        </xdr:to>
        <xdr:sp macro="" textlink="">
          <xdr:nvSpPr>
            <xdr:cNvPr id="1340" name="Check Box 31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365</xdr:row>
          <xdr:rowOff>142875</xdr:rowOff>
        </xdr:from>
        <xdr:to>
          <xdr:col>3</xdr:col>
          <xdr:colOff>47625</xdr:colOff>
          <xdr:row>366</xdr:row>
          <xdr:rowOff>161925</xdr:rowOff>
        </xdr:to>
        <xdr:sp macro="" textlink="">
          <xdr:nvSpPr>
            <xdr:cNvPr id="1341" name="Check Box 31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Término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365</xdr:row>
          <xdr:rowOff>9525</xdr:rowOff>
        </xdr:from>
        <xdr:to>
          <xdr:col>6</xdr:col>
          <xdr:colOff>114300</xdr:colOff>
          <xdr:row>367</xdr:row>
          <xdr:rowOff>85725</xdr:rowOff>
        </xdr:to>
        <xdr:sp macro="" textlink="">
          <xdr:nvSpPr>
            <xdr:cNvPr id="1342" name="Check Box 31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38100</xdr:rowOff>
        </xdr:from>
        <xdr:to>
          <xdr:col>1</xdr:col>
          <xdr:colOff>514350</xdr:colOff>
          <xdr:row>411</xdr:row>
          <xdr:rowOff>76200</xdr:rowOff>
        </xdr:to>
        <xdr:sp macro="" textlink="">
          <xdr:nvSpPr>
            <xdr:cNvPr id="1343" name="Check Box 31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Hablando con los cliente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409</xdr:row>
          <xdr:rowOff>142875</xdr:rowOff>
        </xdr:from>
        <xdr:to>
          <xdr:col>3</xdr:col>
          <xdr:colOff>47625</xdr:colOff>
          <xdr:row>410</xdr:row>
          <xdr:rowOff>161925</xdr:rowOff>
        </xdr:to>
        <xdr:sp macro="" textlink="">
          <xdr:nvSpPr>
            <xdr:cNvPr id="1344" name="Check Box 32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409</xdr:row>
          <xdr:rowOff>9525</xdr:rowOff>
        </xdr:from>
        <xdr:to>
          <xdr:col>6</xdr:col>
          <xdr:colOff>114300</xdr:colOff>
          <xdr:row>411</xdr:row>
          <xdr:rowOff>85725</xdr:rowOff>
        </xdr:to>
        <xdr:sp macro="" textlink="">
          <xdr:nvSpPr>
            <xdr:cNvPr id="1345" name="Check Box 32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Levando las cuentas y el archivo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38100</xdr:rowOff>
        </xdr:from>
        <xdr:to>
          <xdr:col>1</xdr:col>
          <xdr:colOff>514350</xdr:colOff>
          <xdr:row>415</xdr:row>
          <xdr:rowOff>76200</xdr:rowOff>
        </xdr:to>
        <xdr:sp macro="" textlink="">
          <xdr:nvSpPr>
            <xdr:cNvPr id="1349" name="Check Box 32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Prisión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413</xdr:row>
          <xdr:rowOff>142875</xdr:rowOff>
        </xdr:from>
        <xdr:to>
          <xdr:col>3</xdr:col>
          <xdr:colOff>247650</xdr:colOff>
          <xdr:row>414</xdr:row>
          <xdr:rowOff>190500</xdr:rowOff>
        </xdr:to>
        <xdr:sp macro="" textlink="">
          <xdr:nvSpPr>
            <xdr:cNvPr id="1350" name="Check Box 32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Pecado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413</xdr:row>
          <xdr:rowOff>9525</xdr:rowOff>
        </xdr:from>
        <xdr:to>
          <xdr:col>6</xdr:col>
          <xdr:colOff>114300</xdr:colOff>
          <xdr:row>415</xdr:row>
          <xdr:rowOff>85725</xdr:rowOff>
        </xdr:to>
        <xdr:sp macro="" textlink="">
          <xdr:nvSpPr>
            <xdr:cNvPr id="1351" name="Check Box 32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Robo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38100</xdr:rowOff>
        </xdr:from>
        <xdr:to>
          <xdr:col>1</xdr:col>
          <xdr:colOff>514350</xdr:colOff>
          <xdr:row>419</xdr:row>
          <xdr:rowOff>76200</xdr:rowOff>
        </xdr:to>
        <xdr:sp macro="" textlink="">
          <xdr:nvSpPr>
            <xdr:cNvPr id="1352" name="Check Box 32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qp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417</xdr:row>
          <xdr:rowOff>142875</xdr:rowOff>
        </xdr:from>
        <xdr:to>
          <xdr:col>3</xdr:col>
          <xdr:colOff>47625</xdr:colOff>
          <xdr:row>418</xdr:row>
          <xdr:rowOff>161925</xdr:rowOff>
        </xdr:to>
        <xdr:sp macro="" textlink="">
          <xdr:nvSpPr>
            <xdr:cNvPr id="1353" name="Check Box 32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pq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417</xdr:row>
          <xdr:rowOff>9525</xdr:rowOff>
        </xdr:from>
        <xdr:to>
          <xdr:col>6</xdr:col>
          <xdr:colOff>114300</xdr:colOff>
          <xdr:row>419</xdr:row>
          <xdr:rowOff>85725</xdr:rowOff>
        </xdr:to>
        <xdr:sp macro="" textlink="">
          <xdr:nvSpPr>
            <xdr:cNvPr id="1354" name="Check Box 33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38100</xdr:rowOff>
        </xdr:from>
        <xdr:to>
          <xdr:col>1</xdr:col>
          <xdr:colOff>514350</xdr:colOff>
          <xdr:row>423</xdr:row>
          <xdr:rowOff>76200</xdr:rowOff>
        </xdr:to>
        <xdr:sp macro="" textlink="">
          <xdr:nvSpPr>
            <xdr:cNvPr id="1355" name="Check Box 331" hidden="1">
              <a:extLst>
                <a:ext uri="{63B3BB69-23CF-44E3-9099-C40C66FF867C}">
                  <a14:compatExt spid="_x0000_s1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 quedo callado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421</xdr:row>
          <xdr:rowOff>142875</xdr:rowOff>
        </xdr:from>
        <xdr:to>
          <xdr:col>3</xdr:col>
          <xdr:colOff>228600</xdr:colOff>
          <xdr:row>422</xdr:row>
          <xdr:rowOff>142875</xdr:rowOff>
        </xdr:to>
        <xdr:sp macro="" textlink="">
          <xdr:nvSpPr>
            <xdr:cNvPr id="1356" name="Check Box 332" hidden="1">
              <a:extLst>
                <a:ext uri="{63B3BB69-23CF-44E3-9099-C40C66FF867C}">
                  <a14:compatExt spid="_x0000_s1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421</xdr:row>
          <xdr:rowOff>9525</xdr:rowOff>
        </xdr:from>
        <xdr:to>
          <xdr:col>6</xdr:col>
          <xdr:colOff>114300</xdr:colOff>
          <xdr:row>423</xdr:row>
          <xdr:rowOff>85725</xdr:rowOff>
        </xdr:to>
        <xdr:sp macro="" textlink="">
          <xdr:nvSpPr>
            <xdr:cNvPr id="1357" name="Check Box 333" hidden="1">
              <a:extLst>
                <a:ext uri="{63B3BB69-23CF-44E3-9099-C40C66FF867C}">
                  <a14:compatExt spid="_x0000_s1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Los desprecio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38100</xdr:rowOff>
        </xdr:from>
        <xdr:to>
          <xdr:col>1</xdr:col>
          <xdr:colOff>609600</xdr:colOff>
          <xdr:row>428</xdr:row>
          <xdr:rowOff>0</xdr:rowOff>
        </xdr:to>
        <xdr:sp macro="" textlink="">
          <xdr:nvSpPr>
            <xdr:cNvPr id="1358" name="Check Box 334" hidden="1">
              <a:extLst>
                <a:ext uri="{63B3BB69-23CF-44E3-9099-C40C66FF867C}">
                  <a14:compatExt spid="_x0000_s1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Puedo concentrarme en la música y no me molesta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425</xdr:row>
          <xdr:rowOff>142875</xdr:rowOff>
        </xdr:from>
        <xdr:to>
          <xdr:col>3</xdr:col>
          <xdr:colOff>114300</xdr:colOff>
          <xdr:row>426</xdr:row>
          <xdr:rowOff>171450</xdr:rowOff>
        </xdr:to>
        <xdr:sp macro="" textlink="">
          <xdr:nvSpPr>
            <xdr:cNvPr id="1359" name="Check Box 335" hidden="1">
              <a:extLst>
                <a:ext uri="{63B3BB69-23CF-44E3-9099-C40C66FF867C}">
                  <a14:compatExt spid="_x0000_s1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425</xdr:row>
          <xdr:rowOff>9525</xdr:rowOff>
        </xdr:from>
        <xdr:to>
          <xdr:col>5</xdr:col>
          <xdr:colOff>685800</xdr:colOff>
          <xdr:row>427</xdr:row>
          <xdr:rowOff>85725</xdr:rowOff>
        </xdr:to>
        <xdr:sp macro="" textlink="">
          <xdr:nvSpPr>
            <xdr:cNvPr id="1360" name="Check Box 336" hidden="1">
              <a:extLst>
                <a:ext uri="{63B3BB69-23CF-44E3-9099-C40C66FF867C}">
                  <a14:compatExt spid="_x0000_s1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Acaban con mi placer y me molesto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38100</xdr:rowOff>
        </xdr:from>
        <xdr:to>
          <xdr:col>1</xdr:col>
          <xdr:colOff>514350</xdr:colOff>
          <xdr:row>431</xdr:row>
          <xdr:rowOff>76200</xdr:rowOff>
        </xdr:to>
        <xdr:sp macro="" textlink="">
          <xdr:nvSpPr>
            <xdr:cNvPr id="1361" name="Check Box 337" hidden="1">
              <a:extLst>
                <a:ext uri="{63B3BB69-23CF-44E3-9099-C40C66FF867C}">
                  <a14:compatExt spid="_x0000_s1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Educado y tranquilo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429</xdr:row>
          <xdr:rowOff>142875</xdr:rowOff>
        </xdr:from>
        <xdr:to>
          <xdr:col>3</xdr:col>
          <xdr:colOff>47625</xdr:colOff>
          <xdr:row>430</xdr:row>
          <xdr:rowOff>161925</xdr:rowOff>
        </xdr:to>
        <xdr:sp macro="" textlink="">
          <xdr:nvSpPr>
            <xdr:cNvPr id="1362" name="Check Box 338" hidden="1">
              <a:extLst>
                <a:ext uri="{63B3BB69-23CF-44E3-9099-C40C66FF867C}">
                  <a14:compatExt spid="_x0000_s1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429</xdr:row>
          <xdr:rowOff>9525</xdr:rowOff>
        </xdr:from>
        <xdr:to>
          <xdr:col>6</xdr:col>
          <xdr:colOff>114300</xdr:colOff>
          <xdr:row>431</xdr:row>
          <xdr:rowOff>85725</xdr:rowOff>
        </xdr:to>
        <xdr:sp macro="" textlink="">
          <xdr:nvSpPr>
            <xdr:cNvPr id="1363" name="Check Box 339" hidden="1">
              <a:extLst>
                <a:ext uri="{63B3BB69-23CF-44E3-9099-C40C66FF867C}">
                  <a14:compatExt spid="_x0000_s1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Energico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38100</xdr:rowOff>
        </xdr:from>
        <xdr:to>
          <xdr:col>1</xdr:col>
          <xdr:colOff>514350</xdr:colOff>
          <xdr:row>435</xdr:row>
          <xdr:rowOff>76200</xdr:rowOff>
        </xdr:to>
        <xdr:sp macro="" textlink="">
          <xdr:nvSpPr>
            <xdr:cNvPr id="1364" name="Check Box 340" hidden="1">
              <a:extLst>
                <a:ext uri="{63B3BB69-23CF-44E3-9099-C40C66FF867C}">
                  <a14:compatExt spid="_x0000_s1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433</xdr:row>
          <xdr:rowOff>142875</xdr:rowOff>
        </xdr:from>
        <xdr:to>
          <xdr:col>3</xdr:col>
          <xdr:colOff>47625</xdr:colOff>
          <xdr:row>434</xdr:row>
          <xdr:rowOff>161925</xdr:rowOff>
        </xdr:to>
        <xdr:sp macro="" textlink="">
          <xdr:nvSpPr>
            <xdr:cNvPr id="1365" name="Check Box 341" hidden="1">
              <a:extLst>
                <a:ext uri="{63B3BB69-23CF-44E3-9099-C40C66FF867C}">
                  <a14:compatExt spid="_x0000_s1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433</xdr:row>
          <xdr:rowOff>9525</xdr:rowOff>
        </xdr:from>
        <xdr:to>
          <xdr:col>6</xdr:col>
          <xdr:colOff>114300</xdr:colOff>
          <xdr:row>435</xdr:row>
          <xdr:rowOff>85725</xdr:rowOff>
        </xdr:to>
        <xdr:sp macro="" textlink="">
          <xdr:nvSpPr>
            <xdr:cNvPr id="1366" name="Check Box 342" hidden="1">
              <a:extLst>
                <a:ext uri="{63B3BB69-23CF-44E3-9099-C40C66FF867C}">
                  <a14:compatExt spid="_x0000_s1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38100</xdr:rowOff>
        </xdr:from>
        <xdr:to>
          <xdr:col>1</xdr:col>
          <xdr:colOff>514350</xdr:colOff>
          <xdr:row>439</xdr:row>
          <xdr:rowOff>76200</xdr:rowOff>
        </xdr:to>
        <xdr:sp macro="" textlink="">
          <xdr:nvSpPr>
            <xdr:cNvPr id="1367" name="Check Box 343" hidden="1">
              <a:extLst>
                <a:ext uri="{63B3BB69-23CF-44E3-9099-C40C66FF867C}">
                  <a14:compatExt spid="_x0000_s1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437</xdr:row>
          <xdr:rowOff>142875</xdr:rowOff>
        </xdr:from>
        <xdr:to>
          <xdr:col>3</xdr:col>
          <xdr:colOff>47625</xdr:colOff>
          <xdr:row>438</xdr:row>
          <xdr:rowOff>161925</xdr:rowOff>
        </xdr:to>
        <xdr:sp macro="" textlink="">
          <xdr:nvSpPr>
            <xdr:cNvPr id="1368" name="Check Box 344" hidden="1">
              <a:extLst>
                <a:ext uri="{63B3BB69-23CF-44E3-9099-C40C66FF867C}">
                  <a14:compatExt spid="_x0000_s1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437</xdr:row>
          <xdr:rowOff>9525</xdr:rowOff>
        </xdr:from>
        <xdr:to>
          <xdr:col>6</xdr:col>
          <xdr:colOff>114300</xdr:colOff>
          <xdr:row>439</xdr:row>
          <xdr:rowOff>85725</xdr:rowOff>
        </xdr:to>
        <xdr:sp macro="" textlink="">
          <xdr:nvSpPr>
            <xdr:cNvPr id="1369" name="Check Box 345" hidden="1">
              <a:extLst>
                <a:ext uri="{63B3BB69-23CF-44E3-9099-C40C66FF867C}">
                  <a14:compatExt spid="_x0000_s1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38100</xdr:rowOff>
        </xdr:from>
        <xdr:to>
          <xdr:col>1</xdr:col>
          <xdr:colOff>514350</xdr:colOff>
          <xdr:row>443</xdr:row>
          <xdr:rowOff>76200</xdr:rowOff>
        </xdr:to>
        <xdr:sp macro="" textlink="">
          <xdr:nvSpPr>
            <xdr:cNvPr id="1370" name="Check Box 346" hidden="1">
              <a:extLst>
                <a:ext uri="{63B3BB69-23CF-44E3-9099-C40C66FF867C}">
                  <a14:compatExt spid="_x0000_s1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Trato de planearlas anticipadamente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441</xdr:row>
          <xdr:rowOff>142875</xdr:rowOff>
        </xdr:from>
        <xdr:to>
          <xdr:col>3</xdr:col>
          <xdr:colOff>247650</xdr:colOff>
          <xdr:row>442</xdr:row>
          <xdr:rowOff>161925</xdr:rowOff>
        </xdr:to>
        <xdr:sp macro="" textlink="">
          <xdr:nvSpPr>
            <xdr:cNvPr id="1371" name="Check Box 347" hidden="1">
              <a:extLst>
                <a:ext uri="{63B3BB69-23CF-44E3-9099-C40C66FF867C}">
                  <a14:compatExt spid="_x0000_s1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441</xdr:row>
          <xdr:rowOff>9525</xdr:rowOff>
        </xdr:from>
        <xdr:to>
          <xdr:col>6</xdr:col>
          <xdr:colOff>114300</xdr:colOff>
          <xdr:row>443</xdr:row>
          <xdr:rowOff>85725</xdr:rowOff>
        </xdr:to>
        <xdr:sp macro="" textlink="">
          <xdr:nvSpPr>
            <xdr:cNvPr id="1372" name="Check Box 348" hidden="1">
              <a:extLst>
                <a:ext uri="{63B3BB69-23CF-44E3-9099-C40C66FF867C}">
                  <a14:compatExt spid="_x0000_s1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Supongo que podré menejarlas cuando se presenten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38100</xdr:rowOff>
        </xdr:from>
        <xdr:to>
          <xdr:col>1</xdr:col>
          <xdr:colOff>581025</xdr:colOff>
          <xdr:row>447</xdr:row>
          <xdr:rowOff>66675</xdr:rowOff>
        </xdr:to>
        <xdr:sp macro="" textlink="">
          <xdr:nvSpPr>
            <xdr:cNvPr id="1373" name="Check Box 349" hidden="1">
              <a:extLst>
                <a:ext uri="{63B3BB69-23CF-44E3-9099-C40C66FF867C}">
                  <a14:compatExt spid="_x0000_s1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445</xdr:row>
          <xdr:rowOff>142875</xdr:rowOff>
        </xdr:from>
        <xdr:to>
          <xdr:col>3</xdr:col>
          <xdr:colOff>161925</xdr:colOff>
          <xdr:row>446</xdr:row>
          <xdr:rowOff>190500</xdr:rowOff>
        </xdr:to>
        <xdr:sp macro="" textlink="">
          <xdr:nvSpPr>
            <xdr:cNvPr id="1374" name="Check Box 350" hidden="1">
              <a:extLst>
                <a:ext uri="{63B3BB69-23CF-44E3-9099-C40C66FF867C}">
                  <a14:compatExt spid="_x0000_s1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445</xdr:row>
          <xdr:rowOff>9525</xdr:rowOff>
        </xdr:from>
        <xdr:to>
          <xdr:col>5</xdr:col>
          <xdr:colOff>657225</xdr:colOff>
          <xdr:row>447</xdr:row>
          <xdr:rowOff>85725</xdr:rowOff>
        </xdr:to>
        <xdr:sp macro="" textlink="">
          <xdr:nvSpPr>
            <xdr:cNvPr id="1375" name="Check Box 351" hidden="1">
              <a:extLst>
                <a:ext uri="{63B3BB69-23CF-44E3-9099-C40C66FF867C}">
                  <a14:compatExt spid="_x0000_s1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38100</xdr:rowOff>
        </xdr:from>
        <xdr:to>
          <xdr:col>1</xdr:col>
          <xdr:colOff>514350</xdr:colOff>
          <xdr:row>451</xdr:row>
          <xdr:rowOff>76200</xdr:rowOff>
        </xdr:to>
        <xdr:sp macro="" textlink="">
          <xdr:nvSpPr>
            <xdr:cNvPr id="1376" name="Check Box 352" hidden="1">
              <a:extLst>
                <a:ext uri="{63B3BB69-23CF-44E3-9099-C40C66FF867C}">
                  <a14:compatExt spid="_x0000_s1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449</xdr:row>
          <xdr:rowOff>142875</xdr:rowOff>
        </xdr:from>
        <xdr:to>
          <xdr:col>3</xdr:col>
          <xdr:colOff>47625</xdr:colOff>
          <xdr:row>450</xdr:row>
          <xdr:rowOff>161925</xdr:rowOff>
        </xdr:to>
        <xdr:sp macro="" textlink="">
          <xdr:nvSpPr>
            <xdr:cNvPr id="1377" name="Check Box 353" hidden="1">
              <a:extLst>
                <a:ext uri="{63B3BB69-23CF-44E3-9099-C40C66FF867C}">
                  <a14:compatExt spid="_x0000_s1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449</xdr:row>
          <xdr:rowOff>9525</xdr:rowOff>
        </xdr:from>
        <xdr:to>
          <xdr:col>6</xdr:col>
          <xdr:colOff>114300</xdr:colOff>
          <xdr:row>451</xdr:row>
          <xdr:rowOff>85725</xdr:rowOff>
        </xdr:to>
        <xdr:sp macro="" textlink="">
          <xdr:nvSpPr>
            <xdr:cNvPr id="1378" name="Check Box 354" hidden="1">
              <a:extLst>
                <a:ext uri="{63B3BB69-23CF-44E3-9099-C40C66FF867C}">
                  <a14:compatExt spid="_x0000_s1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38100</xdr:rowOff>
        </xdr:from>
        <xdr:to>
          <xdr:col>1</xdr:col>
          <xdr:colOff>742950</xdr:colOff>
          <xdr:row>455</xdr:row>
          <xdr:rowOff>200025</xdr:rowOff>
        </xdr:to>
        <xdr:sp macro="" textlink="">
          <xdr:nvSpPr>
            <xdr:cNvPr id="1379" name="Check Box 355" hidden="1">
              <a:extLst>
                <a:ext uri="{63B3BB69-23CF-44E3-9099-C40C66FF867C}">
                  <a14:compatExt spid="_x0000_s1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Orientador vocacional de muchachos que tratan de encontrar su carrera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453</xdr:row>
          <xdr:rowOff>142875</xdr:rowOff>
        </xdr:from>
        <xdr:to>
          <xdr:col>3</xdr:col>
          <xdr:colOff>47625</xdr:colOff>
          <xdr:row>454</xdr:row>
          <xdr:rowOff>161925</xdr:rowOff>
        </xdr:to>
        <xdr:sp macro="" textlink="">
          <xdr:nvSpPr>
            <xdr:cNvPr id="1380" name="Check Box 356" hidden="1">
              <a:extLst>
                <a:ext uri="{63B3BB69-23CF-44E3-9099-C40C66FF867C}">
                  <a14:compatExt spid="_x0000_s1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453</xdr:row>
          <xdr:rowOff>9525</xdr:rowOff>
        </xdr:from>
        <xdr:to>
          <xdr:col>6</xdr:col>
          <xdr:colOff>114300</xdr:colOff>
          <xdr:row>455</xdr:row>
          <xdr:rowOff>85725</xdr:rowOff>
        </xdr:to>
        <xdr:sp macro="" textlink="">
          <xdr:nvSpPr>
            <xdr:cNvPr id="1381" name="Check Box 357" hidden="1">
              <a:extLst>
                <a:ext uri="{63B3BB69-23CF-44E3-9099-C40C66FF867C}">
                  <a14:compatExt spid="_x0000_s1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Ingeniero mecánico industrial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38100</xdr:rowOff>
        </xdr:from>
        <xdr:to>
          <xdr:col>1</xdr:col>
          <xdr:colOff>514350</xdr:colOff>
          <xdr:row>459</xdr:row>
          <xdr:rowOff>76200</xdr:rowOff>
        </xdr:to>
        <xdr:sp macro="" textlink="">
          <xdr:nvSpPr>
            <xdr:cNvPr id="1382" name="Check Box 358" hidden="1">
              <a:extLst>
                <a:ext uri="{63B3BB69-23CF-44E3-9099-C40C66FF867C}">
                  <a14:compatExt spid="_x0000_s1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457</xdr:row>
          <xdr:rowOff>142875</xdr:rowOff>
        </xdr:from>
        <xdr:to>
          <xdr:col>3</xdr:col>
          <xdr:colOff>47625</xdr:colOff>
          <xdr:row>458</xdr:row>
          <xdr:rowOff>161925</xdr:rowOff>
        </xdr:to>
        <xdr:sp macro="" textlink="">
          <xdr:nvSpPr>
            <xdr:cNvPr id="1383" name="Check Box 359" hidden="1">
              <a:extLst>
                <a:ext uri="{63B3BB69-23CF-44E3-9099-C40C66FF867C}">
                  <a14:compatExt spid="_x0000_s1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457</xdr:row>
          <xdr:rowOff>9525</xdr:rowOff>
        </xdr:from>
        <xdr:to>
          <xdr:col>6</xdr:col>
          <xdr:colOff>114300</xdr:colOff>
          <xdr:row>459</xdr:row>
          <xdr:rowOff>85725</xdr:rowOff>
        </xdr:to>
        <xdr:sp macro="" textlink="">
          <xdr:nvSpPr>
            <xdr:cNvPr id="1384" name="Check Box 360" hidden="1">
              <a:extLst>
                <a:ext uri="{63B3BB69-23CF-44E3-9099-C40C66FF867C}">
                  <a14:compatExt spid="_x0000_s13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38100</xdr:rowOff>
        </xdr:from>
        <xdr:to>
          <xdr:col>1</xdr:col>
          <xdr:colOff>514350</xdr:colOff>
          <xdr:row>463</xdr:row>
          <xdr:rowOff>76200</xdr:rowOff>
        </xdr:to>
        <xdr:sp macro="" textlink="">
          <xdr:nvSpPr>
            <xdr:cNvPr id="1385" name="Check Box 361" hidden="1">
              <a:extLst>
                <a:ext uri="{63B3BB69-23CF-44E3-9099-C40C66FF867C}">
                  <a14:compatExt spid="_x0000_s1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461</xdr:row>
          <xdr:rowOff>142875</xdr:rowOff>
        </xdr:from>
        <xdr:to>
          <xdr:col>3</xdr:col>
          <xdr:colOff>114300</xdr:colOff>
          <xdr:row>462</xdr:row>
          <xdr:rowOff>161925</xdr:rowOff>
        </xdr:to>
        <xdr:sp macro="" textlink="">
          <xdr:nvSpPr>
            <xdr:cNvPr id="1386" name="Check Box 362" hidden="1">
              <a:extLst>
                <a:ext uri="{63B3BB69-23CF-44E3-9099-C40C66FF867C}">
                  <a14:compatExt spid="_x0000_s1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461</xdr:row>
          <xdr:rowOff>9525</xdr:rowOff>
        </xdr:from>
        <xdr:to>
          <xdr:col>6</xdr:col>
          <xdr:colOff>114300</xdr:colOff>
          <xdr:row>463</xdr:row>
          <xdr:rowOff>85725</xdr:rowOff>
        </xdr:to>
        <xdr:sp macro="" textlink="">
          <xdr:nvSpPr>
            <xdr:cNvPr id="1387" name="Check Box 363" hidden="1">
              <a:extLst>
                <a:ext uri="{63B3BB69-23CF-44E3-9099-C40C66FF867C}">
                  <a14:compatExt spid="_x0000_s1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38100</xdr:rowOff>
        </xdr:from>
        <xdr:to>
          <xdr:col>1</xdr:col>
          <xdr:colOff>514350</xdr:colOff>
          <xdr:row>467</xdr:row>
          <xdr:rowOff>76200</xdr:rowOff>
        </xdr:to>
        <xdr:sp macro="" textlink="">
          <xdr:nvSpPr>
            <xdr:cNvPr id="1388" name="Check Box 364" hidden="1">
              <a:extLst>
                <a:ext uri="{63B3BB69-23CF-44E3-9099-C40C66FF867C}">
                  <a14:compatExt spid="_x0000_s1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465</xdr:row>
          <xdr:rowOff>142875</xdr:rowOff>
        </xdr:from>
        <xdr:to>
          <xdr:col>3</xdr:col>
          <xdr:colOff>104775</xdr:colOff>
          <xdr:row>466</xdr:row>
          <xdr:rowOff>180975</xdr:rowOff>
        </xdr:to>
        <xdr:sp macro="" textlink="">
          <xdr:nvSpPr>
            <xdr:cNvPr id="1389" name="Check Box 365" hidden="1">
              <a:extLst>
                <a:ext uri="{63B3BB69-23CF-44E3-9099-C40C66FF867C}">
                  <a14:compatExt spid="_x0000_s1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465</xdr:row>
          <xdr:rowOff>9525</xdr:rowOff>
        </xdr:from>
        <xdr:to>
          <xdr:col>5</xdr:col>
          <xdr:colOff>571500</xdr:colOff>
          <xdr:row>467</xdr:row>
          <xdr:rowOff>85725</xdr:rowOff>
        </xdr:to>
        <xdr:sp macro="" textlink="">
          <xdr:nvSpPr>
            <xdr:cNvPr id="1390" name="Check Box 366" hidden="1">
              <a:extLst>
                <a:ext uri="{63B3BB69-23CF-44E3-9099-C40C66FF867C}">
                  <a14:compatExt spid="_x0000_s1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38100</xdr:rowOff>
        </xdr:from>
        <xdr:to>
          <xdr:col>1</xdr:col>
          <xdr:colOff>514350</xdr:colOff>
          <xdr:row>471</xdr:row>
          <xdr:rowOff>76200</xdr:rowOff>
        </xdr:to>
        <xdr:sp macro="" textlink="">
          <xdr:nvSpPr>
            <xdr:cNvPr id="1391" name="Check Box 367" hidden="1">
              <a:extLst>
                <a:ext uri="{63B3BB69-23CF-44E3-9099-C40C66FF867C}">
                  <a14:compatExt spid="_x0000_s1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469</xdr:row>
          <xdr:rowOff>142875</xdr:rowOff>
        </xdr:from>
        <xdr:to>
          <xdr:col>3</xdr:col>
          <xdr:colOff>47625</xdr:colOff>
          <xdr:row>470</xdr:row>
          <xdr:rowOff>161925</xdr:rowOff>
        </xdr:to>
        <xdr:sp macro="" textlink="">
          <xdr:nvSpPr>
            <xdr:cNvPr id="1392" name="Check Box 368" hidden="1">
              <a:extLst>
                <a:ext uri="{63B3BB69-23CF-44E3-9099-C40C66FF867C}">
                  <a14:compatExt spid="_x0000_s1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469</xdr:row>
          <xdr:rowOff>9525</xdr:rowOff>
        </xdr:from>
        <xdr:to>
          <xdr:col>6</xdr:col>
          <xdr:colOff>114300</xdr:colOff>
          <xdr:row>471</xdr:row>
          <xdr:rowOff>85725</xdr:rowOff>
        </xdr:to>
        <xdr:sp macro="" textlink="">
          <xdr:nvSpPr>
            <xdr:cNvPr id="1393" name="Check Box 369" hidden="1">
              <a:extLst>
                <a:ext uri="{63B3BB69-23CF-44E3-9099-C40C66FF867C}">
                  <a14:compatExt spid="_x0000_s1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38100</xdr:rowOff>
        </xdr:from>
        <xdr:to>
          <xdr:col>1</xdr:col>
          <xdr:colOff>514350</xdr:colOff>
          <xdr:row>475</xdr:row>
          <xdr:rowOff>76200</xdr:rowOff>
        </xdr:to>
        <xdr:sp macro="" textlink="">
          <xdr:nvSpPr>
            <xdr:cNvPr id="1394" name="Check Box 370" hidden="1">
              <a:extLst>
                <a:ext uri="{63B3BB69-23CF-44E3-9099-C40C66FF867C}">
                  <a14:compatExt spid="_x0000_s1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"el es un embustero"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473</xdr:row>
          <xdr:rowOff>142875</xdr:rowOff>
        </xdr:from>
        <xdr:to>
          <xdr:col>3</xdr:col>
          <xdr:colOff>142875</xdr:colOff>
          <xdr:row>474</xdr:row>
          <xdr:rowOff>161925</xdr:rowOff>
        </xdr:to>
        <xdr:sp macro="" textlink="">
          <xdr:nvSpPr>
            <xdr:cNvPr id="1395" name="Check Box 371" hidden="1">
              <a:extLst>
                <a:ext uri="{63B3BB69-23CF-44E3-9099-C40C66FF867C}">
                  <a14:compatExt spid="_x0000_s1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473</xdr:row>
          <xdr:rowOff>9525</xdr:rowOff>
        </xdr:from>
        <xdr:to>
          <xdr:col>5</xdr:col>
          <xdr:colOff>628650</xdr:colOff>
          <xdr:row>475</xdr:row>
          <xdr:rowOff>85725</xdr:rowOff>
        </xdr:to>
        <xdr:sp macro="" textlink="">
          <xdr:nvSpPr>
            <xdr:cNvPr id="1396" name="Check Box 372" hidden="1">
              <a:extLst>
                <a:ext uri="{63B3BB69-23CF-44E3-9099-C40C66FF867C}">
                  <a14:compatExt spid="_x0000_s1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"Aparentemente él está mal informado"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38100</xdr:rowOff>
        </xdr:from>
        <xdr:to>
          <xdr:col>1</xdr:col>
          <xdr:colOff>514350</xdr:colOff>
          <xdr:row>479</xdr:row>
          <xdr:rowOff>76200</xdr:rowOff>
        </xdr:to>
        <xdr:sp macro="" textlink="">
          <xdr:nvSpPr>
            <xdr:cNvPr id="1397" name="Check Box 373" hidden="1">
              <a:extLst>
                <a:ext uri="{63B3BB69-23CF-44E3-9099-C40C66FF867C}">
                  <a14:compatExt spid="_x0000_s1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menudo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477</xdr:row>
          <xdr:rowOff>142875</xdr:rowOff>
        </xdr:from>
        <xdr:to>
          <xdr:col>3</xdr:col>
          <xdr:colOff>47625</xdr:colOff>
          <xdr:row>478</xdr:row>
          <xdr:rowOff>161925</xdr:rowOff>
        </xdr:to>
        <xdr:sp macro="" textlink="">
          <xdr:nvSpPr>
            <xdr:cNvPr id="1398" name="Check Box 374" hidden="1">
              <a:extLst>
                <a:ext uri="{63B3BB69-23CF-44E3-9099-C40C66FF867C}">
                  <a14:compatExt spid="_x0000_s1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Ocasionalmente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477</xdr:row>
          <xdr:rowOff>9525</xdr:rowOff>
        </xdr:from>
        <xdr:to>
          <xdr:col>5</xdr:col>
          <xdr:colOff>695325</xdr:colOff>
          <xdr:row>479</xdr:row>
          <xdr:rowOff>85725</xdr:rowOff>
        </xdr:to>
        <xdr:sp macro="" textlink="">
          <xdr:nvSpPr>
            <xdr:cNvPr id="1399" name="Check Box 375" hidden="1">
              <a:extLst>
                <a:ext uri="{63B3BB69-23CF-44E3-9099-C40C66FF867C}">
                  <a14:compatExt spid="_x0000_s1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Nunca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38100</xdr:rowOff>
        </xdr:from>
        <xdr:to>
          <xdr:col>1</xdr:col>
          <xdr:colOff>514350</xdr:colOff>
          <xdr:row>483</xdr:row>
          <xdr:rowOff>76200</xdr:rowOff>
        </xdr:to>
        <xdr:sp macro="" textlink="">
          <xdr:nvSpPr>
            <xdr:cNvPr id="1400" name="Check Box 376" hidden="1">
              <a:extLst>
                <a:ext uri="{63B3BB69-23CF-44E3-9099-C40C66FF867C}">
                  <a14:compatExt spid="_x0000_s1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481</xdr:row>
          <xdr:rowOff>142875</xdr:rowOff>
        </xdr:from>
        <xdr:to>
          <xdr:col>3</xdr:col>
          <xdr:colOff>47625</xdr:colOff>
          <xdr:row>482</xdr:row>
          <xdr:rowOff>161925</xdr:rowOff>
        </xdr:to>
        <xdr:sp macro="" textlink="">
          <xdr:nvSpPr>
            <xdr:cNvPr id="1401" name="Check Box 377" hidden="1">
              <a:extLst>
                <a:ext uri="{63B3BB69-23CF-44E3-9099-C40C66FF867C}">
                  <a14:compatExt spid="_x0000_s1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481</xdr:row>
          <xdr:rowOff>9525</xdr:rowOff>
        </xdr:from>
        <xdr:to>
          <xdr:col>6</xdr:col>
          <xdr:colOff>114300</xdr:colOff>
          <xdr:row>483</xdr:row>
          <xdr:rowOff>85725</xdr:rowOff>
        </xdr:to>
        <xdr:sp macro="" textlink="">
          <xdr:nvSpPr>
            <xdr:cNvPr id="1402" name="Check Box 378" hidden="1">
              <a:extLst>
                <a:ext uri="{63B3BB69-23CF-44E3-9099-C40C66FF867C}">
                  <a14:compatExt spid="_x0000_s14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38100</xdr:rowOff>
        </xdr:from>
        <xdr:to>
          <xdr:col>1</xdr:col>
          <xdr:colOff>514350</xdr:colOff>
          <xdr:row>487</xdr:row>
          <xdr:rowOff>76200</xdr:rowOff>
        </xdr:to>
        <xdr:sp macro="" textlink="">
          <xdr:nvSpPr>
            <xdr:cNvPr id="1403" name="Check Box 379" hidden="1">
              <a:extLst>
                <a:ext uri="{63B3BB69-23CF-44E3-9099-C40C66FF867C}">
                  <a14:compatExt spid="_x0000_s1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723900</xdr:colOff>
      <xdr:row>485</xdr:row>
      <xdr:rowOff>142875</xdr:rowOff>
    </xdr:from>
    <xdr:to>
      <xdr:col>3</xdr:col>
      <xdr:colOff>47625</xdr:colOff>
      <xdr:row>486</xdr:row>
      <xdr:rowOff>161925</xdr:rowOff>
    </xdr:to>
    <xdr:sp macro="" textlink="">
      <xdr:nvSpPr>
        <xdr:cNvPr id="1404" name="Check Box 380" hidden="1">
          <a:extLst>
            <a:ext uri="{63B3BB69-23CF-44E3-9099-C40C66FF867C}">
              <a14:compatExt xmlns:a14="http://schemas.microsoft.com/office/drawing/2010/main" spid="_x0000_s14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es-AR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No estoy seguro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485</xdr:row>
          <xdr:rowOff>9525</xdr:rowOff>
        </xdr:from>
        <xdr:to>
          <xdr:col>6</xdr:col>
          <xdr:colOff>114300</xdr:colOff>
          <xdr:row>487</xdr:row>
          <xdr:rowOff>85725</xdr:rowOff>
        </xdr:to>
        <xdr:sp macro="" textlink="">
          <xdr:nvSpPr>
            <xdr:cNvPr id="1405" name="Check Box 381" hidden="1">
              <a:extLst>
                <a:ext uri="{63B3BB69-23CF-44E3-9099-C40C66FF867C}">
                  <a14:compatExt spid="_x0000_s1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38100</xdr:rowOff>
        </xdr:from>
        <xdr:to>
          <xdr:col>1</xdr:col>
          <xdr:colOff>514350</xdr:colOff>
          <xdr:row>491</xdr:row>
          <xdr:rowOff>76200</xdr:rowOff>
        </xdr:to>
        <xdr:sp macro="" textlink="">
          <xdr:nvSpPr>
            <xdr:cNvPr id="1406" name="Check Box 382" hidden="1">
              <a:extLst>
                <a:ext uri="{63B3BB69-23CF-44E3-9099-C40C66FF867C}">
                  <a14:compatExt spid="_x0000_s1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Mucho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489</xdr:row>
          <xdr:rowOff>142875</xdr:rowOff>
        </xdr:from>
        <xdr:to>
          <xdr:col>3</xdr:col>
          <xdr:colOff>47625</xdr:colOff>
          <xdr:row>490</xdr:row>
          <xdr:rowOff>161925</xdr:rowOff>
        </xdr:to>
        <xdr:sp macro="" textlink="">
          <xdr:nvSpPr>
            <xdr:cNvPr id="1407" name="Check Box 383" hidden="1">
              <a:extLst>
                <a:ext uri="{63B3BB69-23CF-44E3-9099-C40C66FF867C}">
                  <a14:compatExt spid="_x0000_s14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algo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489</xdr:row>
          <xdr:rowOff>9525</xdr:rowOff>
        </xdr:from>
        <xdr:to>
          <xdr:col>6</xdr:col>
          <xdr:colOff>114300</xdr:colOff>
          <xdr:row>491</xdr:row>
          <xdr:rowOff>85725</xdr:rowOff>
        </xdr:to>
        <xdr:sp macro="" textlink="">
          <xdr:nvSpPr>
            <xdr:cNvPr id="1408" name="Check Box 384" hidden="1">
              <a:extLst>
                <a:ext uri="{63B3BB69-23CF-44E3-9099-C40C66FF867C}">
                  <a14:compatExt spid="_x0000_s14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Nada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38100</xdr:rowOff>
        </xdr:from>
        <xdr:to>
          <xdr:col>1</xdr:col>
          <xdr:colOff>514350</xdr:colOff>
          <xdr:row>495</xdr:row>
          <xdr:rowOff>76200</xdr:rowOff>
        </xdr:to>
        <xdr:sp macro="" textlink="">
          <xdr:nvSpPr>
            <xdr:cNvPr id="1409" name="Check Box 385" hidden="1">
              <a:extLst>
                <a:ext uri="{63B3BB69-23CF-44E3-9099-C40C66FF867C}">
                  <a14:compatExt spid="_x0000_s1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 equipo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493</xdr:row>
          <xdr:rowOff>142875</xdr:rowOff>
        </xdr:from>
        <xdr:to>
          <xdr:col>3</xdr:col>
          <xdr:colOff>104775</xdr:colOff>
          <xdr:row>494</xdr:row>
          <xdr:rowOff>171450</xdr:rowOff>
        </xdr:to>
        <xdr:sp macro="" textlink="">
          <xdr:nvSpPr>
            <xdr:cNvPr id="1410" name="Check Box 386" hidden="1">
              <a:extLst>
                <a:ext uri="{63B3BB69-23CF-44E3-9099-C40C66FF867C}">
                  <a14:compatExt spid="_x0000_s1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493</xdr:row>
          <xdr:rowOff>9525</xdr:rowOff>
        </xdr:from>
        <xdr:to>
          <xdr:col>6</xdr:col>
          <xdr:colOff>114300</xdr:colOff>
          <xdr:row>495</xdr:row>
          <xdr:rowOff>85725</xdr:rowOff>
        </xdr:to>
        <xdr:sp macro="" textlink="">
          <xdr:nvSpPr>
            <xdr:cNvPr id="1411" name="Check Box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 mi propia cuenta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38100</xdr:rowOff>
        </xdr:from>
        <xdr:to>
          <xdr:col>1</xdr:col>
          <xdr:colOff>514350</xdr:colOff>
          <xdr:row>499</xdr:row>
          <xdr:rowOff>76200</xdr:rowOff>
        </xdr:to>
        <xdr:sp macro="" textlink="">
          <xdr:nvSpPr>
            <xdr:cNvPr id="1412" name="Check Box 388" hidden="1">
              <a:extLst>
                <a:ext uri="{63B3BB69-23CF-44E3-9099-C40C66FF867C}">
                  <a14:compatExt spid="_x0000_s1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menudo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497</xdr:row>
          <xdr:rowOff>142875</xdr:rowOff>
        </xdr:from>
        <xdr:to>
          <xdr:col>3</xdr:col>
          <xdr:colOff>47625</xdr:colOff>
          <xdr:row>498</xdr:row>
          <xdr:rowOff>161925</xdr:rowOff>
        </xdr:to>
        <xdr:sp macro="" textlink="">
          <xdr:nvSpPr>
            <xdr:cNvPr id="1413" name="Check Box 389" hidden="1">
              <a:extLst>
                <a:ext uri="{63B3BB69-23CF-44E3-9099-C40C66FF867C}">
                  <a14:compatExt spid="_x0000_s1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 ocaciones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497</xdr:row>
          <xdr:rowOff>9525</xdr:rowOff>
        </xdr:from>
        <xdr:to>
          <xdr:col>6</xdr:col>
          <xdr:colOff>114300</xdr:colOff>
          <xdr:row>499</xdr:row>
          <xdr:rowOff>85725</xdr:rowOff>
        </xdr:to>
        <xdr:sp macro="" textlink="">
          <xdr:nvSpPr>
            <xdr:cNvPr id="1414" name="Check Box 390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Nunca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38100</xdr:rowOff>
        </xdr:from>
        <xdr:to>
          <xdr:col>1</xdr:col>
          <xdr:colOff>514350</xdr:colOff>
          <xdr:row>503</xdr:row>
          <xdr:rowOff>76200</xdr:rowOff>
        </xdr:to>
        <xdr:sp macro="" textlink="">
          <xdr:nvSpPr>
            <xdr:cNvPr id="1415" name="Check Box 391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501</xdr:row>
          <xdr:rowOff>142875</xdr:rowOff>
        </xdr:from>
        <xdr:to>
          <xdr:col>3</xdr:col>
          <xdr:colOff>47625</xdr:colOff>
          <xdr:row>502</xdr:row>
          <xdr:rowOff>161925</xdr:rowOff>
        </xdr:to>
        <xdr:sp macro="" textlink="">
          <xdr:nvSpPr>
            <xdr:cNvPr id="1416" name="Check Box 392" hidden="1">
              <a:extLst>
                <a:ext uri="{63B3BB69-23CF-44E3-9099-C40C66FF867C}">
                  <a14:compatExt spid="_x0000_s1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501</xdr:row>
          <xdr:rowOff>9525</xdr:rowOff>
        </xdr:from>
        <xdr:to>
          <xdr:col>6</xdr:col>
          <xdr:colOff>114300</xdr:colOff>
          <xdr:row>503</xdr:row>
          <xdr:rowOff>85725</xdr:rowOff>
        </xdr:to>
        <xdr:sp macro="" textlink="">
          <xdr:nvSpPr>
            <xdr:cNvPr id="1417" name="Check Box 393" hidden="1">
              <a:extLst>
                <a:ext uri="{63B3BB69-23CF-44E3-9099-C40C66FF867C}">
                  <a14:compatExt spid="_x0000_s1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38100</xdr:rowOff>
        </xdr:from>
        <xdr:to>
          <xdr:col>1</xdr:col>
          <xdr:colOff>514350</xdr:colOff>
          <xdr:row>507</xdr:row>
          <xdr:rowOff>76200</xdr:rowOff>
        </xdr:to>
        <xdr:sp macro="" textlink="">
          <xdr:nvSpPr>
            <xdr:cNvPr id="1418" name="Check Box 394" hidden="1">
              <a:extLst>
                <a:ext uri="{63B3BB69-23CF-44E3-9099-C40C66FF867C}">
                  <a14:compatExt spid="_x0000_s1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505</xdr:row>
          <xdr:rowOff>142875</xdr:rowOff>
        </xdr:from>
        <xdr:to>
          <xdr:col>3</xdr:col>
          <xdr:colOff>47625</xdr:colOff>
          <xdr:row>506</xdr:row>
          <xdr:rowOff>161925</xdr:rowOff>
        </xdr:to>
        <xdr:sp macro="" textlink="">
          <xdr:nvSpPr>
            <xdr:cNvPr id="1419" name="Check Box 395" hidden="1">
              <a:extLst>
                <a:ext uri="{63B3BB69-23CF-44E3-9099-C40C66FF867C}">
                  <a14:compatExt spid="_x0000_s1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505</xdr:row>
          <xdr:rowOff>9525</xdr:rowOff>
        </xdr:from>
        <xdr:to>
          <xdr:col>6</xdr:col>
          <xdr:colOff>114300</xdr:colOff>
          <xdr:row>507</xdr:row>
          <xdr:rowOff>85725</xdr:rowOff>
        </xdr:to>
        <xdr:sp macro="" textlink="">
          <xdr:nvSpPr>
            <xdr:cNvPr id="1420" name="Check Box 396" hidden="1">
              <a:extLst>
                <a:ext uri="{63B3BB69-23CF-44E3-9099-C40C66FF867C}">
                  <a14:compatExt spid="_x0000_s1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38100</xdr:rowOff>
        </xdr:from>
        <xdr:to>
          <xdr:col>1</xdr:col>
          <xdr:colOff>514350</xdr:colOff>
          <xdr:row>511</xdr:row>
          <xdr:rowOff>76200</xdr:rowOff>
        </xdr:to>
        <xdr:sp macro="" textlink="">
          <xdr:nvSpPr>
            <xdr:cNvPr id="1424" name="Check Box 400" hidden="1">
              <a:extLst>
                <a:ext uri="{63B3BB69-23CF-44E3-9099-C40C66FF867C}">
                  <a14:compatExt spid="_x0000_s14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Abogado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509</xdr:row>
          <xdr:rowOff>142875</xdr:rowOff>
        </xdr:from>
        <xdr:to>
          <xdr:col>3</xdr:col>
          <xdr:colOff>47625</xdr:colOff>
          <xdr:row>510</xdr:row>
          <xdr:rowOff>161925</xdr:rowOff>
        </xdr:to>
        <xdr:sp macro="" textlink="">
          <xdr:nvSpPr>
            <xdr:cNvPr id="1425" name="Check Box 401" hidden="1">
              <a:extLst>
                <a:ext uri="{63B3BB69-23CF-44E3-9099-C40C66FF867C}">
                  <a14:compatExt spid="_x0000_s1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509</xdr:row>
          <xdr:rowOff>9525</xdr:rowOff>
        </xdr:from>
        <xdr:to>
          <xdr:col>5</xdr:col>
          <xdr:colOff>542925</xdr:colOff>
          <xdr:row>511</xdr:row>
          <xdr:rowOff>85725</xdr:rowOff>
        </xdr:to>
        <xdr:sp macro="" textlink="">
          <xdr:nvSpPr>
            <xdr:cNvPr id="1426" name="Check Box 402" hidden="1">
              <a:extLst>
                <a:ext uri="{63B3BB69-23CF-44E3-9099-C40C66FF867C}">
                  <a14:compatExt spid="_x0000_s14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Navegante o piloto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38100</xdr:rowOff>
        </xdr:from>
        <xdr:to>
          <xdr:col>1</xdr:col>
          <xdr:colOff>514350</xdr:colOff>
          <xdr:row>515</xdr:row>
          <xdr:rowOff>76200</xdr:rowOff>
        </xdr:to>
        <xdr:sp macro="" textlink="">
          <xdr:nvSpPr>
            <xdr:cNvPr id="1427" name="Check Box 403" hidden="1">
              <a:extLst>
                <a:ext uri="{63B3BB69-23CF-44E3-9099-C40C66FF867C}">
                  <a14:compatExt spid="_x0000_s14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Rápido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513</xdr:row>
          <xdr:rowOff>142875</xdr:rowOff>
        </xdr:from>
        <xdr:to>
          <xdr:col>3</xdr:col>
          <xdr:colOff>47625</xdr:colOff>
          <xdr:row>514</xdr:row>
          <xdr:rowOff>161925</xdr:rowOff>
        </xdr:to>
        <xdr:sp macro="" textlink="">
          <xdr:nvSpPr>
            <xdr:cNvPr id="1428" name="Check Box 404" hidden="1">
              <a:extLst>
                <a:ext uri="{63B3BB69-23CF-44E3-9099-C40C66FF867C}">
                  <a14:compatExt spid="_x0000_s14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Óptimo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513</xdr:row>
          <xdr:rowOff>9525</xdr:rowOff>
        </xdr:from>
        <xdr:to>
          <xdr:col>6</xdr:col>
          <xdr:colOff>114300</xdr:colOff>
          <xdr:row>515</xdr:row>
          <xdr:rowOff>85725</xdr:rowOff>
        </xdr:to>
        <xdr:sp macro="" textlink="">
          <xdr:nvSpPr>
            <xdr:cNvPr id="1429" name="Check Box 405" hidden="1">
              <a:extLst>
                <a:ext uri="{63B3BB69-23CF-44E3-9099-C40C66FF867C}">
                  <a14:compatExt spid="_x0000_s1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Más veloz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38100</xdr:rowOff>
        </xdr:from>
        <xdr:to>
          <xdr:col>1</xdr:col>
          <xdr:colOff>514350</xdr:colOff>
          <xdr:row>519</xdr:row>
          <xdr:rowOff>76200</xdr:rowOff>
        </xdr:to>
        <xdr:sp macro="" textlink="">
          <xdr:nvSpPr>
            <xdr:cNvPr id="1430" name="Check Box 406" hidden="1">
              <a:extLst>
                <a:ext uri="{63B3BB69-23CF-44E3-9099-C40C66FF867C}">
                  <a14:compatExt spid="_x0000_s1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OXXX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517</xdr:row>
          <xdr:rowOff>142875</xdr:rowOff>
        </xdr:from>
        <xdr:to>
          <xdr:col>3</xdr:col>
          <xdr:colOff>47625</xdr:colOff>
          <xdr:row>518</xdr:row>
          <xdr:rowOff>161925</xdr:rowOff>
        </xdr:to>
        <xdr:sp macro="" textlink="">
          <xdr:nvSpPr>
            <xdr:cNvPr id="1431" name="Check Box 407" hidden="1">
              <a:extLst>
                <a:ext uri="{63B3BB69-23CF-44E3-9099-C40C66FF867C}">
                  <a14:compatExt spid="_x0000_s1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OOXX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517</xdr:row>
          <xdr:rowOff>9525</xdr:rowOff>
        </xdr:from>
        <xdr:to>
          <xdr:col>6</xdr:col>
          <xdr:colOff>114300</xdr:colOff>
          <xdr:row>519</xdr:row>
          <xdr:rowOff>85725</xdr:rowOff>
        </xdr:to>
        <xdr:sp macro="" textlink="">
          <xdr:nvSpPr>
            <xdr:cNvPr id="1432" name="Check Box 408" hidden="1">
              <a:extLst>
                <a:ext uri="{63B3BB69-23CF-44E3-9099-C40C66FF867C}">
                  <a14:compatExt spid="_x0000_s1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XOOO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38100</xdr:rowOff>
        </xdr:from>
        <xdr:to>
          <xdr:col>1</xdr:col>
          <xdr:colOff>514350</xdr:colOff>
          <xdr:row>523</xdr:row>
          <xdr:rowOff>76200</xdr:rowOff>
        </xdr:to>
        <xdr:sp macro="" textlink="">
          <xdr:nvSpPr>
            <xdr:cNvPr id="1433" name="Check Box 409" hidden="1">
              <a:extLst>
                <a:ext uri="{63B3BB69-23CF-44E3-9099-C40C66FF867C}">
                  <a14:compatExt spid="_x0000_s1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521</xdr:row>
          <xdr:rowOff>142875</xdr:rowOff>
        </xdr:from>
        <xdr:to>
          <xdr:col>3</xdr:col>
          <xdr:colOff>47625</xdr:colOff>
          <xdr:row>522</xdr:row>
          <xdr:rowOff>161925</xdr:rowOff>
        </xdr:to>
        <xdr:sp macro="" textlink="">
          <xdr:nvSpPr>
            <xdr:cNvPr id="1434" name="Check Box 410" hidden="1">
              <a:extLst>
                <a:ext uri="{63B3BB69-23CF-44E3-9099-C40C66FF867C}">
                  <a14:compatExt spid="_x0000_s1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521</xdr:row>
          <xdr:rowOff>9525</xdr:rowOff>
        </xdr:from>
        <xdr:to>
          <xdr:col>6</xdr:col>
          <xdr:colOff>114300</xdr:colOff>
          <xdr:row>523</xdr:row>
          <xdr:rowOff>85725</xdr:rowOff>
        </xdr:to>
        <xdr:sp macro="" textlink="">
          <xdr:nvSpPr>
            <xdr:cNvPr id="1435" name="Check Box 411" hidden="1">
              <a:extLst>
                <a:ext uri="{63B3BB69-23CF-44E3-9099-C40C66FF867C}">
                  <a14:compatExt spid="_x0000_s1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38100</xdr:rowOff>
        </xdr:from>
        <xdr:to>
          <xdr:col>1</xdr:col>
          <xdr:colOff>514350</xdr:colOff>
          <xdr:row>527</xdr:row>
          <xdr:rowOff>76200</xdr:rowOff>
        </xdr:to>
        <xdr:sp macro="" textlink="">
          <xdr:nvSpPr>
            <xdr:cNvPr id="1436" name="Check Box 412" hidden="1">
              <a:extLst>
                <a:ext uri="{63B3BB69-23CF-44E3-9099-C40C66FF867C}">
                  <a14:compatExt spid="_x0000_s1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525</xdr:row>
          <xdr:rowOff>142875</xdr:rowOff>
        </xdr:from>
        <xdr:to>
          <xdr:col>3</xdr:col>
          <xdr:colOff>47625</xdr:colOff>
          <xdr:row>526</xdr:row>
          <xdr:rowOff>161925</xdr:rowOff>
        </xdr:to>
        <xdr:sp macro="" textlink="">
          <xdr:nvSpPr>
            <xdr:cNvPr id="1437" name="Check Box 413" hidden="1">
              <a:extLst>
                <a:ext uri="{63B3BB69-23CF-44E3-9099-C40C66FF867C}">
                  <a14:compatExt spid="_x0000_s1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525</xdr:row>
          <xdr:rowOff>9525</xdr:rowOff>
        </xdr:from>
        <xdr:to>
          <xdr:col>6</xdr:col>
          <xdr:colOff>114300</xdr:colOff>
          <xdr:row>527</xdr:row>
          <xdr:rowOff>85725</xdr:rowOff>
        </xdr:to>
        <xdr:sp macro="" textlink="">
          <xdr:nvSpPr>
            <xdr:cNvPr id="1438" name="Check Box 414" hidden="1">
              <a:extLst>
                <a:ext uri="{63B3BB69-23CF-44E3-9099-C40C66FF867C}">
                  <a14:compatExt spid="_x0000_s1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38100</xdr:rowOff>
        </xdr:from>
        <xdr:to>
          <xdr:col>1</xdr:col>
          <xdr:colOff>514350</xdr:colOff>
          <xdr:row>531</xdr:row>
          <xdr:rowOff>76200</xdr:rowOff>
        </xdr:to>
        <xdr:sp macro="" textlink="">
          <xdr:nvSpPr>
            <xdr:cNvPr id="1439" name="Check Box 415" hidden="1">
              <a:extLst>
                <a:ext uri="{63B3BB69-23CF-44E3-9099-C40C66FF867C}">
                  <a14:compatExt spid="_x0000_s1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529</xdr:row>
          <xdr:rowOff>142875</xdr:rowOff>
        </xdr:from>
        <xdr:to>
          <xdr:col>3</xdr:col>
          <xdr:colOff>47625</xdr:colOff>
          <xdr:row>530</xdr:row>
          <xdr:rowOff>161925</xdr:rowOff>
        </xdr:to>
        <xdr:sp macro="" textlink="">
          <xdr:nvSpPr>
            <xdr:cNvPr id="1440" name="Check Box 416" hidden="1">
              <a:extLst>
                <a:ext uri="{63B3BB69-23CF-44E3-9099-C40C66FF867C}">
                  <a14:compatExt spid="_x0000_s1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529</xdr:row>
          <xdr:rowOff>9525</xdr:rowOff>
        </xdr:from>
        <xdr:to>
          <xdr:col>6</xdr:col>
          <xdr:colOff>114300</xdr:colOff>
          <xdr:row>531</xdr:row>
          <xdr:rowOff>85725</xdr:rowOff>
        </xdr:to>
        <xdr:sp macro="" textlink="">
          <xdr:nvSpPr>
            <xdr:cNvPr id="1441" name="Check Box 417" hidden="1">
              <a:extLst>
                <a:ext uri="{63B3BB69-23CF-44E3-9099-C40C66FF867C}">
                  <a14:compatExt spid="_x0000_s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38100</xdr:rowOff>
        </xdr:from>
        <xdr:to>
          <xdr:col>1</xdr:col>
          <xdr:colOff>514350</xdr:colOff>
          <xdr:row>535</xdr:row>
          <xdr:rowOff>76200</xdr:rowOff>
        </xdr:to>
        <xdr:sp macro="" textlink="">
          <xdr:nvSpPr>
            <xdr:cNvPr id="1442" name="Check Box 418" hidden="1">
              <a:extLst>
                <a:ext uri="{63B3BB69-23CF-44E3-9099-C40C66FF867C}">
                  <a14:compatExt spid="_x0000_s1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533</xdr:row>
          <xdr:rowOff>142875</xdr:rowOff>
        </xdr:from>
        <xdr:to>
          <xdr:col>3</xdr:col>
          <xdr:colOff>47625</xdr:colOff>
          <xdr:row>534</xdr:row>
          <xdr:rowOff>161925</xdr:rowOff>
        </xdr:to>
        <xdr:sp macro="" textlink="">
          <xdr:nvSpPr>
            <xdr:cNvPr id="1443" name="Check Box 419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533</xdr:row>
          <xdr:rowOff>9525</xdr:rowOff>
        </xdr:from>
        <xdr:to>
          <xdr:col>6</xdr:col>
          <xdr:colOff>114300</xdr:colOff>
          <xdr:row>535</xdr:row>
          <xdr:rowOff>85725</xdr:rowOff>
        </xdr:to>
        <xdr:sp macro="" textlink="">
          <xdr:nvSpPr>
            <xdr:cNvPr id="1444" name="Check Box 420" hidden="1">
              <a:extLst>
                <a:ext uri="{63B3BB69-23CF-44E3-9099-C40C66FF867C}">
                  <a14:compatExt spid="_x0000_s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38100</xdr:rowOff>
        </xdr:from>
        <xdr:to>
          <xdr:col>1</xdr:col>
          <xdr:colOff>514350</xdr:colOff>
          <xdr:row>539</xdr:row>
          <xdr:rowOff>76200</xdr:rowOff>
        </xdr:to>
        <xdr:sp macro="" textlink="">
          <xdr:nvSpPr>
            <xdr:cNvPr id="1445" name="Check Box 421" hidden="1">
              <a:extLst>
                <a:ext uri="{63B3BB69-23CF-44E3-9099-C40C66FF867C}">
                  <a14:compatExt spid="_x0000_s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537</xdr:row>
          <xdr:rowOff>142875</xdr:rowOff>
        </xdr:from>
        <xdr:to>
          <xdr:col>3</xdr:col>
          <xdr:colOff>47625</xdr:colOff>
          <xdr:row>538</xdr:row>
          <xdr:rowOff>161925</xdr:rowOff>
        </xdr:to>
        <xdr:sp macro="" textlink="">
          <xdr:nvSpPr>
            <xdr:cNvPr id="1446" name="Check Box 422" hidden="1">
              <a:extLst>
                <a:ext uri="{63B3BB69-23CF-44E3-9099-C40C66FF867C}">
                  <a14:compatExt spid="_x0000_s1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537</xdr:row>
          <xdr:rowOff>9525</xdr:rowOff>
        </xdr:from>
        <xdr:to>
          <xdr:col>6</xdr:col>
          <xdr:colOff>114300</xdr:colOff>
          <xdr:row>539</xdr:row>
          <xdr:rowOff>85725</xdr:rowOff>
        </xdr:to>
        <xdr:sp macro="" textlink="">
          <xdr:nvSpPr>
            <xdr:cNvPr id="1447" name="Check Box 423" hidden="1">
              <a:extLst>
                <a:ext uri="{63B3BB69-23CF-44E3-9099-C40C66FF867C}">
                  <a14:compatExt spid="_x0000_s1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38100</xdr:rowOff>
        </xdr:from>
        <xdr:to>
          <xdr:col>1</xdr:col>
          <xdr:colOff>514350</xdr:colOff>
          <xdr:row>543</xdr:row>
          <xdr:rowOff>76200</xdr:rowOff>
        </xdr:to>
        <xdr:sp macro="" textlink="">
          <xdr:nvSpPr>
            <xdr:cNvPr id="1448" name="Check Box 424" hidden="1">
              <a:extLst>
                <a:ext uri="{63B3BB69-23CF-44E3-9099-C40C66FF867C}">
                  <a14:compatExt spid="_x0000_s1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541</xdr:row>
          <xdr:rowOff>142875</xdr:rowOff>
        </xdr:from>
        <xdr:to>
          <xdr:col>3</xdr:col>
          <xdr:colOff>47625</xdr:colOff>
          <xdr:row>542</xdr:row>
          <xdr:rowOff>161925</xdr:rowOff>
        </xdr:to>
        <xdr:sp macro="" textlink="">
          <xdr:nvSpPr>
            <xdr:cNvPr id="1449" name="Check Box 425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541</xdr:row>
          <xdr:rowOff>9525</xdr:rowOff>
        </xdr:from>
        <xdr:to>
          <xdr:col>6</xdr:col>
          <xdr:colOff>114300</xdr:colOff>
          <xdr:row>543</xdr:row>
          <xdr:rowOff>85725</xdr:rowOff>
        </xdr:to>
        <xdr:sp macro="" textlink="">
          <xdr:nvSpPr>
            <xdr:cNvPr id="1450" name="Check Box 426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38100</xdr:rowOff>
        </xdr:from>
        <xdr:to>
          <xdr:col>1</xdr:col>
          <xdr:colOff>514350</xdr:colOff>
          <xdr:row>547</xdr:row>
          <xdr:rowOff>76200</xdr:rowOff>
        </xdr:to>
        <xdr:sp macro="" textlink="">
          <xdr:nvSpPr>
            <xdr:cNvPr id="1451" name="Check Box 427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545</xdr:row>
          <xdr:rowOff>142875</xdr:rowOff>
        </xdr:from>
        <xdr:to>
          <xdr:col>3</xdr:col>
          <xdr:colOff>47625</xdr:colOff>
          <xdr:row>546</xdr:row>
          <xdr:rowOff>161925</xdr:rowOff>
        </xdr:to>
        <xdr:sp macro="" textlink="">
          <xdr:nvSpPr>
            <xdr:cNvPr id="1452" name="Check Box 428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545</xdr:row>
          <xdr:rowOff>9525</xdr:rowOff>
        </xdr:from>
        <xdr:to>
          <xdr:col>6</xdr:col>
          <xdr:colOff>114300</xdr:colOff>
          <xdr:row>547</xdr:row>
          <xdr:rowOff>85725</xdr:rowOff>
        </xdr:to>
        <xdr:sp macro="" textlink="">
          <xdr:nvSpPr>
            <xdr:cNvPr id="1453" name="Check Box 429" hidden="1">
              <a:extLst>
                <a:ext uri="{63B3BB69-23CF-44E3-9099-C40C66FF867C}">
                  <a14:compatExt spid="_x0000_s1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38100</xdr:rowOff>
        </xdr:from>
        <xdr:to>
          <xdr:col>1</xdr:col>
          <xdr:colOff>514350</xdr:colOff>
          <xdr:row>551</xdr:row>
          <xdr:rowOff>76200</xdr:rowOff>
        </xdr:to>
        <xdr:sp macro="" textlink="">
          <xdr:nvSpPr>
            <xdr:cNvPr id="1454" name="Check Box 430" hidden="1">
              <a:extLst>
                <a:ext uri="{63B3BB69-23CF-44E3-9099-C40C66FF867C}">
                  <a14:compatExt spid="_x0000_s1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Demuestro mis emociones como quiero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549</xdr:row>
          <xdr:rowOff>142875</xdr:rowOff>
        </xdr:from>
        <xdr:to>
          <xdr:col>3</xdr:col>
          <xdr:colOff>47625</xdr:colOff>
          <xdr:row>550</xdr:row>
          <xdr:rowOff>161925</xdr:rowOff>
        </xdr:to>
        <xdr:sp macro="" textlink="">
          <xdr:nvSpPr>
            <xdr:cNvPr id="1455" name="Check Box 431" hidden="1">
              <a:extLst>
                <a:ext uri="{63B3BB69-23CF-44E3-9099-C40C66FF867C}">
                  <a14:compatExt spid="_x0000_s1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549</xdr:row>
          <xdr:rowOff>9525</xdr:rowOff>
        </xdr:from>
        <xdr:to>
          <xdr:col>6</xdr:col>
          <xdr:colOff>114300</xdr:colOff>
          <xdr:row>551</xdr:row>
          <xdr:rowOff>85725</xdr:rowOff>
        </xdr:to>
        <xdr:sp macro="" textlink="">
          <xdr:nvSpPr>
            <xdr:cNvPr id="1456" name="Check Box 432" hidden="1">
              <a:extLst>
                <a:ext uri="{63B3BB69-23CF-44E3-9099-C40C66FF867C}">
                  <a14:compatExt spid="_x0000_s1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 guardo mis emociones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38100</xdr:rowOff>
        </xdr:from>
        <xdr:to>
          <xdr:col>1</xdr:col>
          <xdr:colOff>514350</xdr:colOff>
          <xdr:row>555</xdr:row>
          <xdr:rowOff>76200</xdr:rowOff>
        </xdr:to>
        <xdr:sp macro="" textlink="">
          <xdr:nvSpPr>
            <xdr:cNvPr id="1457" name="Check Box 433" hidden="1">
              <a:extLst>
                <a:ext uri="{63B3BB69-23CF-44E3-9099-C40C66FF867C}">
                  <a14:compatExt spid="_x0000_s1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Alegre,ligera y animada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553</xdr:row>
          <xdr:rowOff>142875</xdr:rowOff>
        </xdr:from>
        <xdr:to>
          <xdr:col>3</xdr:col>
          <xdr:colOff>47625</xdr:colOff>
          <xdr:row>554</xdr:row>
          <xdr:rowOff>161925</xdr:rowOff>
        </xdr:to>
        <xdr:sp macro="" textlink="">
          <xdr:nvSpPr>
            <xdr:cNvPr id="1458" name="Check Box 434" hidden="1">
              <a:extLst>
                <a:ext uri="{63B3BB69-23CF-44E3-9099-C40C66FF867C}">
                  <a14:compatExt spid="_x0000_s1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553</xdr:row>
          <xdr:rowOff>9525</xdr:rowOff>
        </xdr:from>
        <xdr:to>
          <xdr:col>5</xdr:col>
          <xdr:colOff>685800</xdr:colOff>
          <xdr:row>555</xdr:row>
          <xdr:rowOff>85725</xdr:rowOff>
        </xdr:to>
        <xdr:sp macro="" textlink="">
          <xdr:nvSpPr>
            <xdr:cNvPr id="1459" name="Check Box 435" hidden="1">
              <a:extLst>
                <a:ext uri="{63B3BB69-23CF-44E3-9099-C40C66FF867C}">
                  <a14:compatExt spid="_x0000_s1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Emotiva y sentimental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38100</xdr:rowOff>
        </xdr:from>
        <xdr:to>
          <xdr:col>1</xdr:col>
          <xdr:colOff>514350</xdr:colOff>
          <xdr:row>559</xdr:row>
          <xdr:rowOff>76200</xdr:rowOff>
        </xdr:to>
        <xdr:sp macro="" textlink="">
          <xdr:nvSpPr>
            <xdr:cNvPr id="1460" name="Check Box 436" hidden="1">
              <a:extLst>
                <a:ext uri="{63B3BB69-23CF-44E3-9099-C40C66FF867C}">
                  <a14:compatExt spid="_x0000_s1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557</xdr:row>
          <xdr:rowOff>142875</xdr:rowOff>
        </xdr:from>
        <xdr:to>
          <xdr:col>3</xdr:col>
          <xdr:colOff>47625</xdr:colOff>
          <xdr:row>558</xdr:row>
          <xdr:rowOff>161925</xdr:rowOff>
        </xdr:to>
        <xdr:sp macro="" textlink="">
          <xdr:nvSpPr>
            <xdr:cNvPr id="1461" name="Check Box 437" hidden="1">
              <a:extLst>
                <a:ext uri="{63B3BB69-23CF-44E3-9099-C40C66FF867C}">
                  <a14:compatExt spid="_x0000_s1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557</xdr:row>
          <xdr:rowOff>9525</xdr:rowOff>
        </xdr:from>
        <xdr:to>
          <xdr:col>5</xdr:col>
          <xdr:colOff>714375</xdr:colOff>
          <xdr:row>559</xdr:row>
          <xdr:rowOff>85725</xdr:rowOff>
        </xdr:to>
        <xdr:sp macro="" textlink="">
          <xdr:nvSpPr>
            <xdr:cNvPr id="1462" name="Check Box 438" hidden="1">
              <a:extLst>
                <a:ext uri="{63B3BB69-23CF-44E3-9099-C40C66FF867C}">
                  <a14:compatExt spid="_x0000_s1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38100</xdr:rowOff>
        </xdr:from>
        <xdr:to>
          <xdr:col>1</xdr:col>
          <xdr:colOff>514350</xdr:colOff>
          <xdr:row>563</xdr:row>
          <xdr:rowOff>76200</xdr:rowOff>
        </xdr:to>
        <xdr:sp macro="" textlink="">
          <xdr:nvSpPr>
            <xdr:cNvPr id="1463" name="Check Box 439" hidden="1">
              <a:extLst>
                <a:ext uri="{63B3BB69-23CF-44E3-9099-C40C66FF867C}">
                  <a14:compatExt spid="_x0000_s1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le doy importancia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561</xdr:row>
          <xdr:rowOff>142875</xdr:rowOff>
        </xdr:from>
        <xdr:to>
          <xdr:col>3</xdr:col>
          <xdr:colOff>47625</xdr:colOff>
          <xdr:row>562</xdr:row>
          <xdr:rowOff>161925</xdr:rowOff>
        </xdr:to>
        <xdr:sp macro="" textlink="">
          <xdr:nvSpPr>
            <xdr:cNvPr id="1464" name="Check Box 440" hidden="1">
              <a:extLst>
                <a:ext uri="{63B3BB69-23CF-44E3-9099-C40C66FF867C}">
                  <a14:compatExt spid="_x0000_s1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561</xdr:row>
          <xdr:rowOff>9525</xdr:rowOff>
        </xdr:from>
        <xdr:to>
          <xdr:col>5</xdr:col>
          <xdr:colOff>628650</xdr:colOff>
          <xdr:row>563</xdr:row>
          <xdr:rowOff>85725</xdr:rowOff>
        </xdr:to>
        <xdr:sp macro="" textlink="">
          <xdr:nvSpPr>
            <xdr:cNvPr id="1465" name="Check Box 441" hidden="1">
              <a:extLst>
                <a:ext uri="{63B3BB69-23CF-44E3-9099-C40C66FF867C}">
                  <a14:compatExt spid="_x0000_s1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Repito la frase para que la gente pueda escucharla nuevamente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38100</xdr:rowOff>
        </xdr:from>
        <xdr:to>
          <xdr:col>1</xdr:col>
          <xdr:colOff>514350</xdr:colOff>
          <xdr:row>567</xdr:row>
          <xdr:rowOff>76200</xdr:rowOff>
        </xdr:to>
        <xdr:sp macro="" textlink="">
          <xdr:nvSpPr>
            <xdr:cNvPr id="1466" name="Check Box 442" hidden="1">
              <a:extLst>
                <a:ext uri="{63B3BB69-23CF-44E3-9099-C40C66FF867C}">
                  <a14:compatExt spid="_x0000_s1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565</xdr:row>
          <xdr:rowOff>142875</xdr:rowOff>
        </xdr:from>
        <xdr:to>
          <xdr:col>3</xdr:col>
          <xdr:colOff>47625</xdr:colOff>
          <xdr:row>566</xdr:row>
          <xdr:rowOff>161925</xdr:rowOff>
        </xdr:to>
        <xdr:sp macro="" textlink="">
          <xdr:nvSpPr>
            <xdr:cNvPr id="1467" name="Check Box 443" hidden="1">
              <a:extLst>
                <a:ext uri="{63B3BB69-23CF-44E3-9099-C40C66FF867C}">
                  <a14:compatExt spid="_x0000_s1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565</xdr:row>
          <xdr:rowOff>9525</xdr:rowOff>
        </xdr:from>
        <xdr:to>
          <xdr:col>6</xdr:col>
          <xdr:colOff>114300</xdr:colOff>
          <xdr:row>567</xdr:row>
          <xdr:rowOff>85725</xdr:rowOff>
        </xdr:to>
        <xdr:sp macro="" textlink="">
          <xdr:nvSpPr>
            <xdr:cNvPr id="1468" name="Check Box 444" hidden="1">
              <a:extLst>
                <a:ext uri="{63B3BB69-23CF-44E3-9099-C40C66FF867C}">
                  <a14:compatExt spid="_x0000_s1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38100</xdr:rowOff>
        </xdr:from>
        <xdr:to>
          <xdr:col>1</xdr:col>
          <xdr:colOff>514350</xdr:colOff>
          <xdr:row>571</xdr:row>
          <xdr:rowOff>76200</xdr:rowOff>
        </xdr:to>
        <xdr:sp macro="" textlink="">
          <xdr:nvSpPr>
            <xdr:cNvPr id="1470" name="Check Box 446" hidden="1">
              <a:extLst>
                <a:ext uri="{63B3BB69-23CF-44E3-9099-C40C66FF867C}">
                  <a14:compatExt spid="_x0000_s1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569</xdr:row>
          <xdr:rowOff>142875</xdr:rowOff>
        </xdr:from>
        <xdr:to>
          <xdr:col>3</xdr:col>
          <xdr:colOff>47625</xdr:colOff>
          <xdr:row>570</xdr:row>
          <xdr:rowOff>161925</xdr:rowOff>
        </xdr:to>
        <xdr:sp macro="" textlink="">
          <xdr:nvSpPr>
            <xdr:cNvPr id="1471" name="Check Box 447" hidden="1">
              <a:extLst>
                <a:ext uri="{63B3BB69-23CF-44E3-9099-C40C66FF867C}">
                  <a14:compatExt spid="_x0000_s1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569</xdr:row>
          <xdr:rowOff>9525</xdr:rowOff>
        </xdr:from>
        <xdr:to>
          <xdr:col>6</xdr:col>
          <xdr:colOff>114300</xdr:colOff>
          <xdr:row>571</xdr:row>
          <xdr:rowOff>85725</xdr:rowOff>
        </xdr:to>
        <xdr:sp macro="" textlink="">
          <xdr:nvSpPr>
            <xdr:cNvPr id="1472" name="Check Box 448" hidden="1">
              <a:extLst>
                <a:ext uri="{63B3BB69-23CF-44E3-9099-C40C66FF867C}">
                  <a14:compatExt spid="_x0000_s1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38100</xdr:rowOff>
        </xdr:from>
        <xdr:to>
          <xdr:col>1</xdr:col>
          <xdr:colOff>514350</xdr:colOff>
          <xdr:row>575</xdr:row>
          <xdr:rowOff>76200</xdr:rowOff>
        </xdr:to>
        <xdr:sp macro="" textlink="">
          <xdr:nvSpPr>
            <xdr:cNvPr id="1473" name="Check Box 449" hidden="1">
              <a:extLst>
                <a:ext uri="{63B3BB69-23CF-44E3-9099-C40C66FF867C}">
                  <a14:compatExt spid="_x0000_s1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573</xdr:row>
          <xdr:rowOff>142875</xdr:rowOff>
        </xdr:from>
        <xdr:to>
          <xdr:col>3</xdr:col>
          <xdr:colOff>47625</xdr:colOff>
          <xdr:row>574</xdr:row>
          <xdr:rowOff>161925</xdr:rowOff>
        </xdr:to>
        <xdr:sp macro="" textlink="">
          <xdr:nvSpPr>
            <xdr:cNvPr id="1474" name="Check Box 450" hidden="1">
              <a:extLst>
                <a:ext uri="{63B3BB69-23CF-44E3-9099-C40C66FF867C}">
                  <a14:compatExt spid="_x0000_s1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573</xdr:row>
          <xdr:rowOff>9525</xdr:rowOff>
        </xdr:from>
        <xdr:to>
          <xdr:col>6</xdr:col>
          <xdr:colOff>114300</xdr:colOff>
          <xdr:row>575</xdr:row>
          <xdr:rowOff>85725</xdr:rowOff>
        </xdr:to>
        <xdr:sp macro="" textlink="">
          <xdr:nvSpPr>
            <xdr:cNvPr id="1475" name="Check Box 451" hidden="1">
              <a:extLst>
                <a:ext uri="{63B3BB69-23CF-44E3-9099-C40C66FF867C}">
                  <a14:compatExt spid="_x0000_s1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38100</xdr:rowOff>
        </xdr:from>
        <xdr:to>
          <xdr:col>1</xdr:col>
          <xdr:colOff>514350</xdr:colOff>
          <xdr:row>579</xdr:row>
          <xdr:rowOff>76200</xdr:rowOff>
        </xdr:to>
        <xdr:sp macro="" textlink="">
          <xdr:nvSpPr>
            <xdr:cNvPr id="1479" name="Check Box 455" hidden="1">
              <a:extLst>
                <a:ext uri="{63B3BB69-23CF-44E3-9099-C40C66FF867C}">
                  <a14:compatExt spid="_x0000_s1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577</xdr:row>
          <xdr:rowOff>142875</xdr:rowOff>
        </xdr:from>
        <xdr:to>
          <xdr:col>3</xdr:col>
          <xdr:colOff>47625</xdr:colOff>
          <xdr:row>578</xdr:row>
          <xdr:rowOff>161925</xdr:rowOff>
        </xdr:to>
        <xdr:sp macro="" textlink="">
          <xdr:nvSpPr>
            <xdr:cNvPr id="1480" name="Check Box 456" hidden="1">
              <a:extLst>
                <a:ext uri="{63B3BB69-23CF-44E3-9099-C40C66FF867C}">
                  <a14:compatExt spid="_x0000_s1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577</xdr:row>
          <xdr:rowOff>9525</xdr:rowOff>
        </xdr:from>
        <xdr:to>
          <xdr:col>6</xdr:col>
          <xdr:colOff>114300</xdr:colOff>
          <xdr:row>579</xdr:row>
          <xdr:rowOff>85725</xdr:rowOff>
        </xdr:to>
        <xdr:sp macro="" textlink="">
          <xdr:nvSpPr>
            <xdr:cNvPr id="1481" name="Check Box 457" hidden="1">
              <a:extLst>
                <a:ext uri="{63B3BB69-23CF-44E3-9099-C40C66FF867C}">
                  <a14:compatExt spid="_x0000_s1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38100</xdr:rowOff>
        </xdr:from>
        <xdr:to>
          <xdr:col>1</xdr:col>
          <xdr:colOff>514350</xdr:colOff>
          <xdr:row>583</xdr:row>
          <xdr:rowOff>76200</xdr:rowOff>
        </xdr:to>
        <xdr:sp macro="" textlink="">
          <xdr:nvSpPr>
            <xdr:cNvPr id="1482" name="Check Box 458" hidden="1">
              <a:extLst>
                <a:ext uri="{63B3BB69-23CF-44E3-9099-C40C66FF867C}">
                  <a14:compatExt spid="_x0000_s1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581</xdr:row>
          <xdr:rowOff>142875</xdr:rowOff>
        </xdr:from>
        <xdr:to>
          <xdr:col>3</xdr:col>
          <xdr:colOff>47625</xdr:colOff>
          <xdr:row>582</xdr:row>
          <xdr:rowOff>161925</xdr:rowOff>
        </xdr:to>
        <xdr:sp macro="" textlink="">
          <xdr:nvSpPr>
            <xdr:cNvPr id="1483" name="Check Box 459" hidden="1">
              <a:extLst>
                <a:ext uri="{63B3BB69-23CF-44E3-9099-C40C66FF867C}">
                  <a14:compatExt spid="_x0000_s1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581</xdr:row>
          <xdr:rowOff>9525</xdr:rowOff>
        </xdr:from>
        <xdr:to>
          <xdr:col>6</xdr:col>
          <xdr:colOff>114300</xdr:colOff>
          <xdr:row>583</xdr:row>
          <xdr:rowOff>85725</xdr:rowOff>
        </xdr:to>
        <xdr:sp macro="" textlink="">
          <xdr:nvSpPr>
            <xdr:cNvPr id="1484" name="Check Box 460" hidden="1">
              <a:extLst>
                <a:ext uri="{63B3BB69-23CF-44E3-9099-C40C66FF867C}">
                  <a14:compatExt spid="_x0000_s1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38100</xdr:rowOff>
        </xdr:from>
        <xdr:to>
          <xdr:col>1</xdr:col>
          <xdr:colOff>514350</xdr:colOff>
          <xdr:row>587</xdr:row>
          <xdr:rowOff>76200</xdr:rowOff>
        </xdr:to>
        <xdr:sp macro="" textlink="">
          <xdr:nvSpPr>
            <xdr:cNvPr id="1485" name="Check Box 461" hidden="1">
              <a:extLst>
                <a:ext uri="{63B3BB69-23CF-44E3-9099-C40C66FF867C}">
                  <a14:compatExt spid="_x0000_s1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Quisiera ver a un "ganador"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585</xdr:row>
          <xdr:rowOff>142875</xdr:rowOff>
        </xdr:from>
        <xdr:to>
          <xdr:col>3</xdr:col>
          <xdr:colOff>47625</xdr:colOff>
          <xdr:row>586</xdr:row>
          <xdr:rowOff>161925</xdr:rowOff>
        </xdr:to>
        <xdr:sp macro="" textlink="">
          <xdr:nvSpPr>
            <xdr:cNvPr id="1486" name="Check Box 462" hidden="1">
              <a:extLst>
                <a:ext uri="{63B3BB69-23CF-44E3-9099-C40C66FF867C}">
                  <a14:compatExt spid="_x0000_s1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585</xdr:row>
          <xdr:rowOff>9525</xdr:rowOff>
        </xdr:from>
        <xdr:to>
          <xdr:col>6</xdr:col>
          <xdr:colOff>114300</xdr:colOff>
          <xdr:row>587</xdr:row>
          <xdr:rowOff>85725</xdr:rowOff>
        </xdr:to>
        <xdr:sp macro="" textlink="">
          <xdr:nvSpPr>
            <xdr:cNvPr id="1487" name="Check Box 463" hidden="1">
              <a:extLst>
                <a:ext uri="{63B3BB69-23CF-44E3-9099-C40C66FF867C}">
                  <a14:compatExt spid="_x0000_s1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Desaría que se calmaran rápidamente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38100</xdr:rowOff>
        </xdr:from>
        <xdr:to>
          <xdr:col>1</xdr:col>
          <xdr:colOff>514350</xdr:colOff>
          <xdr:row>591</xdr:row>
          <xdr:rowOff>76200</xdr:rowOff>
        </xdr:to>
        <xdr:sp macro="" textlink="">
          <xdr:nvSpPr>
            <xdr:cNvPr id="1488" name="Check Box 464" hidden="1">
              <a:extLst>
                <a:ext uri="{63B3BB69-23CF-44E3-9099-C40C66FF867C}">
                  <a14:compatExt spid="_x0000_s1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589</xdr:row>
          <xdr:rowOff>142875</xdr:rowOff>
        </xdr:from>
        <xdr:to>
          <xdr:col>3</xdr:col>
          <xdr:colOff>47625</xdr:colOff>
          <xdr:row>590</xdr:row>
          <xdr:rowOff>161925</xdr:rowOff>
        </xdr:to>
        <xdr:sp macro="" textlink="">
          <xdr:nvSpPr>
            <xdr:cNvPr id="1489" name="Check Box 465" hidden="1">
              <a:extLst>
                <a:ext uri="{63B3BB69-23CF-44E3-9099-C40C66FF867C}">
                  <a14:compatExt spid="_x0000_s1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589</xdr:row>
          <xdr:rowOff>9525</xdr:rowOff>
        </xdr:from>
        <xdr:to>
          <xdr:col>6</xdr:col>
          <xdr:colOff>114300</xdr:colOff>
          <xdr:row>591</xdr:row>
          <xdr:rowOff>85725</xdr:rowOff>
        </xdr:to>
        <xdr:sp macro="" textlink="">
          <xdr:nvSpPr>
            <xdr:cNvPr id="1490" name="Check Box 466" hidden="1">
              <a:extLst>
                <a:ext uri="{63B3BB69-23CF-44E3-9099-C40C66FF867C}">
                  <a14:compatExt spid="_x0000_s1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38100</xdr:rowOff>
        </xdr:from>
        <xdr:to>
          <xdr:col>1</xdr:col>
          <xdr:colOff>514350</xdr:colOff>
          <xdr:row>595</xdr:row>
          <xdr:rowOff>76200</xdr:rowOff>
        </xdr:to>
        <xdr:sp macro="" textlink="">
          <xdr:nvSpPr>
            <xdr:cNvPr id="1491" name="Check Box 467" hidden="1">
              <a:extLst>
                <a:ext uri="{63B3BB69-23CF-44E3-9099-C40C66FF867C}">
                  <a14:compatExt spid="_x0000_s1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593</xdr:row>
          <xdr:rowOff>142875</xdr:rowOff>
        </xdr:from>
        <xdr:to>
          <xdr:col>3</xdr:col>
          <xdr:colOff>47625</xdr:colOff>
          <xdr:row>594</xdr:row>
          <xdr:rowOff>161925</xdr:rowOff>
        </xdr:to>
        <xdr:sp macro="" textlink="">
          <xdr:nvSpPr>
            <xdr:cNvPr id="1492" name="Check Box 468" hidden="1">
              <a:extLst>
                <a:ext uri="{63B3BB69-23CF-44E3-9099-C40C66FF867C}">
                  <a14:compatExt spid="_x0000_s1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593</xdr:row>
          <xdr:rowOff>9525</xdr:rowOff>
        </xdr:from>
        <xdr:to>
          <xdr:col>6</xdr:col>
          <xdr:colOff>114300</xdr:colOff>
          <xdr:row>595</xdr:row>
          <xdr:rowOff>85725</xdr:rowOff>
        </xdr:to>
        <xdr:sp macro="" textlink="">
          <xdr:nvSpPr>
            <xdr:cNvPr id="1493" name="Check Box 469" hidden="1">
              <a:extLst>
                <a:ext uri="{63B3BB69-23CF-44E3-9099-C40C66FF867C}">
                  <a14:compatExt spid="_x0000_s1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38100</xdr:rowOff>
        </xdr:from>
        <xdr:to>
          <xdr:col>1</xdr:col>
          <xdr:colOff>514350</xdr:colOff>
          <xdr:row>599</xdr:row>
          <xdr:rowOff>76200</xdr:rowOff>
        </xdr:to>
        <xdr:sp macro="" textlink="">
          <xdr:nvSpPr>
            <xdr:cNvPr id="1494" name="Check Box 470" hidden="1">
              <a:extLst>
                <a:ext uri="{63B3BB69-23CF-44E3-9099-C40C66FF867C}">
                  <a14:compatExt spid="_x0000_s1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597</xdr:row>
          <xdr:rowOff>142875</xdr:rowOff>
        </xdr:from>
        <xdr:to>
          <xdr:col>3</xdr:col>
          <xdr:colOff>47625</xdr:colOff>
          <xdr:row>598</xdr:row>
          <xdr:rowOff>161925</xdr:rowOff>
        </xdr:to>
        <xdr:sp macro="" textlink="">
          <xdr:nvSpPr>
            <xdr:cNvPr id="1495" name="Check Box 471" hidden="1">
              <a:extLst>
                <a:ext uri="{63B3BB69-23CF-44E3-9099-C40C66FF867C}">
                  <a14:compatExt spid="_x0000_s1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597</xdr:row>
          <xdr:rowOff>9525</xdr:rowOff>
        </xdr:from>
        <xdr:to>
          <xdr:col>5</xdr:col>
          <xdr:colOff>714375</xdr:colOff>
          <xdr:row>599</xdr:row>
          <xdr:rowOff>85725</xdr:rowOff>
        </xdr:to>
        <xdr:sp macro="" textlink="">
          <xdr:nvSpPr>
            <xdr:cNvPr id="1496" name="Check Box 472" hidden="1">
              <a:extLst>
                <a:ext uri="{63B3BB69-23CF-44E3-9099-C40C66FF867C}">
                  <a14:compatExt spid="_x0000_s1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38100</xdr:rowOff>
        </xdr:from>
        <xdr:to>
          <xdr:col>1</xdr:col>
          <xdr:colOff>514350</xdr:colOff>
          <xdr:row>603</xdr:row>
          <xdr:rowOff>76200</xdr:rowOff>
        </xdr:to>
        <xdr:sp macro="" textlink="">
          <xdr:nvSpPr>
            <xdr:cNvPr id="1497" name="Check Box 473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601</xdr:row>
          <xdr:rowOff>142875</xdr:rowOff>
        </xdr:from>
        <xdr:to>
          <xdr:col>3</xdr:col>
          <xdr:colOff>47625</xdr:colOff>
          <xdr:row>602</xdr:row>
          <xdr:rowOff>161925</xdr:rowOff>
        </xdr:to>
        <xdr:sp macro="" textlink="">
          <xdr:nvSpPr>
            <xdr:cNvPr id="1498" name="Check Box 474" hidden="1">
              <a:extLst>
                <a:ext uri="{63B3BB69-23CF-44E3-9099-C40C66FF867C}">
                  <a14:compatExt spid="_x0000_s1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veces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601</xdr:row>
          <xdr:rowOff>9525</xdr:rowOff>
        </xdr:from>
        <xdr:to>
          <xdr:col>6</xdr:col>
          <xdr:colOff>114300</xdr:colOff>
          <xdr:row>603</xdr:row>
          <xdr:rowOff>85725</xdr:rowOff>
        </xdr:to>
        <xdr:sp macro="" textlink="">
          <xdr:nvSpPr>
            <xdr:cNvPr id="1499" name="Check Box 475" hidden="1">
              <a:extLst>
                <a:ext uri="{63B3BB69-23CF-44E3-9099-C40C66FF867C}">
                  <a14:compatExt spid="_x0000_s1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38100</xdr:rowOff>
        </xdr:from>
        <xdr:to>
          <xdr:col>1</xdr:col>
          <xdr:colOff>514350</xdr:colOff>
          <xdr:row>607</xdr:row>
          <xdr:rowOff>76200</xdr:rowOff>
        </xdr:to>
        <xdr:sp macro="" textlink="">
          <xdr:nvSpPr>
            <xdr:cNvPr id="1500" name="Check Box 476" hidden="1">
              <a:extLst>
                <a:ext uri="{63B3BB69-23CF-44E3-9099-C40C66FF867C}">
                  <a14:compatExt spid="_x0000_s1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605</xdr:row>
          <xdr:rowOff>142875</xdr:rowOff>
        </xdr:from>
        <xdr:to>
          <xdr:col>3</xdr:col>
          <xdr:colOff>47625</xdr:colOff>
          <xdr:row>606</xdr:row>
          <xdr:rowOff>161925</xdr:rowOff>
        </xdr:to>
        <xdr:sp macro="" textlink="">
          <xdr:nvSpPr>
            <xdr:cNvPr id="1501" name="Check Box 477" hidden="1">
              <a:extLst>
                <a:ext uri="{63B3BB69-23CF-44E3-9099-C40C66FF867C}">
                  <a14:compatExt spid="_x0000_s1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605</xdr:row>
          <xdr:rowOff>9525</xdr:rowOff>
        </xdr:from>
        <xdr:to>
          <xdr:col>6</xdr:col>
          <xdr:colOff>114300</xdr:colOff>
          <xdr:row>607</xdr:row>
          <xdr:rowOff>85725</xdr:rowOff>
        </xdr:to>
        <xdr:sp macro="" textlink="">
          <xdr:nvSpPr>
            <xdr:cNvPr id="1502" name="Check Box 478" hidden="1">
              <a:extLst>
                <a:ext uri="{63B3BB69-23CF-44E3-9099-C40C66FF867C}">
                  <a14:compatExt spid="_x0000_s1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609</xdr:row>
          <xdr:rowOff>142875</xdr:rowOff>
        </xdr:from>
        <xdr:to>
          <xdr:col>3</xdr:col>
          <xdr:colOff>47625</xdr:colOff>
          <xdr:row>610</xdr:row>
          <xdr:rowOff>161925</xdr:rowOff>
        </xdr:to>
        <xdr:sp macro="" textlink="">
          <xdr:nvSpPr>
            <xdr:cNvPr id="1504" name="Check Box 480" hidden="1">
              <a:extLst>
                <a:ext uri="{63B3BB69-23CF-44E3-9099-C40C66FF867C}">
                  <a14:compatExt spid="_x0000_s1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609</xdr:row>
          <xdr:rowOff>9525</xdr:rowOff>
        </xdr:from>
        <xdr:to>
          <xdr:col>5</xdr:col>
          <xdr:colOff>676275</xdr:colOff>
          <xdr:row>611</xdr:row>
          <xdr:rowOff>85725</xdr:rowOff>
        </xdr:to>
        <xdr:sp macro="" textlink="">
          <xdr:nvSpPr>
            <xdr:cNvPr id="1505" name="Check Box 481" hidden="1">
              <a:extLst>
                <a:ext uri="{63B3BB69-23CF-44E3-9099-C40C66FF867C}">
                  <a14:compatExt spid="_x0000_s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Secretario de un club social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38100</xdr:rowOff>
        </xdr:from>
        <xdr:to>
          <xdr:col>1</xdr:col>
          <xdr:colOff>514350</xdr:colOff>
          <xdr:row>619</xdr:row>
          <xdr:rowOff>76200</xdr:rowOff>
        </xdr:to>
        <xdr:sp macro="" textlink="">
          <xdr:nvSpPr>
            <xdr:cNvPr id="1509" name="Check Box 485" hidden="1">
              <a:extLst>
                <a:ext uri="{63B3BB69-23CF-44E3-9099-C40C66FF867C}">
                  <a14:compatExt spid="_x0000_s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Espina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617</xdr:row>
          <xdr:rowOff>142875</xdr:rowOff>
        </xdr:from>
        <xdr:to>
          <xdr:col>3</xdr:col>
          <xdr:colOff>47625</xdr:colOff>
          <xdr:row>618</xdr:row>
          <xdr:rowOff>161925</xdr:rowOff>
        </xdr:to>
        <xdr:sp macro="" textlink="">
          <xdr:nvSpPr>
            <xdr:cNvPr id="1510" name="Check Box 486" hidden="1">
              <a:extLst>
                <a:ext uri="{63B3BB69-23CF-44E3-9099-C40C66FF867C}">
                  <a14:compatExt spid="_x0000_s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Petalo rojo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617</xdr:row>
          <xdr:rowOff>9525</xdr:rowOff>
        </xdr:from>
        <xdr:to>
          <xdr:col>5</xdr:col>
          <xdr:colOff>733425</xdr:colOff>
          <xdr:row>619</xdr:row>
          <xdr:rowOff>85725</xdr:rowOff>
        </xdr:to>
        <xdr:sp macro="" textlink="">
          <xdr:nvSpPr>
            <xdr:cNvPr id="1511" name="Check Box 487" hidden="1">
              <a:extLst>
                <a:ext uri="{63B3BB69-23CF-44E3-9099-C40C66FF867C}">
                  <a14:compatExt spid="_x0000_s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Perfume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38100</xdr:rowOff>
        </xdr:from>
        <xdr:to>
          <xdr:col>1</xdr:col>
          <xdr:colOff>514350</xdr:colOff>
          <xdr:row>623</xdr:row>
          <xdr:rowOff>76200</xdr:rowOff>
        </xdr:to>
        <xdr:sp macro="" textlink="">
          <xdr:nvSpPr>
            <xdr:cNvPr id="1512" name="Check Box 488" hidden="1">
              <a:extLst>
                <a:ext uri="{63B3BB69-23CF-44E3-9099-C40C66FF867C}">
                  <a14:compatExt spid="_x0000_s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 menudo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621</xdr:row>
          <xdr:rowOff>142875</xdr:rowOff>
        </xdr:from>
        <xdr:to>
          <xdr:col>3</xdr:col>
          <xdr:colOff>47625</xdr:colOff>
          <xdr:row>622</xdr:row>
          <xdr:rowOff>161925</xdr:rowOff>
        </xdr:to>
        <xdr:sp macro="" textlink="">
          <xdr:nvSpPr>
            <xdr:cNvPr id="1513" name="Check Box 489" hidden="1">
              <a:extLst>
                <a:ext uri="{63B3BB69-23CF-44E3-9099-C40C66FF867C}">
                  <a14:compatExt spid="_x0000_s1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 ocasiones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621</xdr:row>
          <xdr:rowOff>9525</xdr:rowOff>
        </xdr:from>
        <xdr:to>
          <xdr:col>5</xdr:col>
          <xdr:colOff>685800</xdr:colOff>
          <xdr:row>623</xdr:row>
          <xdr:rowOff>85725</xdr:rowOff>
        </xdr:to>
        <xdr:sp macro="" textlink="">
          <xdr:nvSpPr>
            <xdr:cNvPr id="1514" name="Check Box 490" hidden="1">
              <a:extLst>
                <a:ext uri="{63B3BB69-23CF-44E3-9099-C40C66FF867C}">
                  <a14:compatExt spid="_x0000_s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 nunca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38100</xdr:rowOff>
        </xdr:from>
        <xdr:to>
          <xdr:col>1</xdr:col>
          <xdr:colOff>514350</xdr:colOff>
          <xdr:row>627</xdr:row>
          <xdr:rowOff>76200</xdr:rowOff>
        </xdr:to>
        <xdr:sp macro="" textlink="">
          <xdr:nvSpPr>
            <xdr:cNvPr id="1515" name="Check Box 491" hidden="1">
              <a:extLst>
                <a:ext uri="{63B3BB69-23CF-44E3-9099-C40C66FF867C}">
                  <a14:compatExt spid="_x0000_s1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625</xdr:row>
          <xdr:rowOff>142875</xdr:rowOff>
        </xdr:from>
        <xdr:to>
          <xdr:col>3</xdr:col>
          <xdr:colOff>47625</xdr:colOff>
          <xdr:row>626</xdr:row>
          <xdr:rowOff>161925</xdr:rowOff>
        </xdr:to>
        <xdr:sp macro="" textlink="">
          <xdr:nvSpPr>
            <xdr:cNvPr id="1516" name="Check Box 492" hidden="1">
              <a:extLst>
                <a:ext uri="{63B3BB69-23CF-44E3-9099-C40C66FF867C}">
                  <a14:compatExt spid="_x0000_s1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625</xdr:row>
          <xdr:rowOff>9525</xdr:rowOff>
        </xdr:from>
        <xdr:to>
          <xdr:col>6</xdr:col>
          <xdr:colOff>19050</xdr:colOff>
          <xdr:row>627</xdr:row>
          <xdr:rowOff>85725</xdr:rowOff>
        </xdr:to>
        <xdr:sp macro="" textlink="">
          <xdr:nvSpPr>
            <xdr:cNvPr id="1517" name="Check Box 493" hidden="1">
              <a:extLst>
                <a:ext uri="{63B3BB69-23CF-44E3-9099-C40C66FF867C}">
                  <a14:compatExt spid="_x0000_s1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38100</xdr:rowOff>
        </xdr:from>
        <xdr:to>
          <xdr:col>1</xdr:col>
          <xdr:colOff>514350</xdr:colOff>
          <xdr:row>631</xdr:row>
          <xdr:rowOff>76200</xdr:rowOff>
        </xdr:to>
        <xdr:sp macro="" textlink="">
          <xdr:nvSpPr>
            <xdr:cNvPr id="1518" name="Check Box 494" hidden="1">
              <a:extLst>
                <a:ext uri="{63B3BB69-23CF-44E3-9099-C40C66FF867C}">
                  <a14:compatExt spid="_x0000_s1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629</xdr:row>
          <xdr:rowOff>142875</xdr:rowOff>
        </xdr:from>
        <xdr:to>
          <xdr:col>3</xdr:col>
          <xdr:colOff>47625</xdr:colOff>
          <xdr:row>630</xdr:row>
          <xdr:rowOff>161925</xdr:rowOff>
        </xdr:to>
        <xdr:sp macro="" textlink="">
          <xdr:nvSpPr>
            <xdr:cNvPr id="1519" name="Check Box 495" hidden="1">
              <a:extLst>
                <a:ext uri="{63B3BB69-23CF-44E3-9099-C40C66FF867C}">
                  <a14:compatExt spid="_x0000_s1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629</xdr:row>
          <xdr:rowOff>9525</xdr:rowOff>
        </xdr:from>
        <xdr:to>
          <xdr:col>5</xdr:col>
          <xdr:colOff>771525</xdr:colOff>
          <xdr:row>631</xdr:row>
          <xdr:rowOff>85725</xdr:rowOff>
        </xdr:to>
        <xdr:sp macro="" textlink="">
          <xdr:nvSpPr>
            <xdr:cNvPr id="1520" name="Check Box 496" hidden="1">
              <a:extLst>
                <a:ext uri="{63B3BB69-23CF-44E3-9099-C40C66FF867C}">
                  <a14:compatExt spid="_x0000_s1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38100</xdr:rowOff>
        </xdr:from>
        <xdr:to>
          <xdr:col>1</xdr:col>
          <xdr:colOff>514350</xdr:colOff>
          <xdr:row>635</xdr:row>
          <xdr:rowOff>76200</xdr:rowOff>
        </xdr:to>
        <xdr:sp macro="" textlink="">
          <xdr:nvSpPr>
            <xdr:cNvPr id="1521" name="Check Box 497" hidden="1">
              <a:extLst>
                <a:ext uri="{63B3BB69-23CF-44E3-9099-C40C66FF867C}">
                  <a14:compatExt spid="_x0000_s1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633</xdr:row>
          <xdr:rowOff>142875</xdr:rowOff>
        </xdr:from>
        <xdr:to>
          <xdr:col>3</xdr:col>
          <xdr:colOff>47625</xdr:colOff>
          <xdr:row>634</xdr:row>
          <xdr:rowOff>161925</xdr:rowOff>
        </xdr:to>
        <xdr:sp macro="" textlink="">
          <xdr:nvSpPr>
            <xdr:cNvPr id="1522" name="Check Box 498" hidden="1">
              <a:extLst>
                <a:ext uri="{63B3BB69-23CF-44E3-9099-C40C66FF867C}">
                  <a14:compatExt spid="_x0000_s1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633</xdr:row>
          <xdr:rowOff>9525</xdr:rowOff>
        </xdr:from>
        <xdr:to>
          <xdr:col>5</xdr:col>
          <xdr:colOff>781050</xdr:colOff>
          <xdr:row>635</xdr:row>
          <xdr:rowOff>85725</xdr:rowOff>
        </xdr:to>
        <xdr:sp macro="" textlink="">
          <xdr:nvSpPr>
            <xdr:cNvPr id="1523" name="Check Box 499" hidden="1">
              <a:extLst>
                <a:ext uri="{63B3BB69-23CF-44E3-9099-C40C66FF867C}">
                  <a14:compatExt spid="_x0000_s1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38100</xdr:rowOff>
        </xdr:from>
        <xdr:to>
          <xdr:col>1</xdr:col>
          <xdr:colOff>514350</xdr:colOff>
          <xdr:row>639</xdr:row>
          <xdr:rowOff>76200</xdr:rowOff>
        </xdr:to>
        <xdr:sp macro="" textlink="">
          <xdr:nvSpPr>
            <xdr:cNvPr id="1524" name="Check Box 500" hidden="1">
              <a:extLst>
                <a:ext uri="{63B3BB69-23CF-44E3-9099-C40C66FF867C}">
                  <a14:compatExt spid="_x0000_s1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637</xdr:row>
          <xdr:rowOff>142875</xdr:rowOff>
        </xdr:from>
        <xdr:to>
          <xdr:col>3</xdr:col>
          <xdr:colOff>47625</xdr:colOff>
          <xdr:row>638</xdr:row>
          <xdr:rowOff>161925</xdr:rowOff>
        </xdr:to>
        <xdr:sp macro="" textlink="">
          <xdr:nvSpPr>
            <xdr:cNvPr id="1525" name="Check Box 501" hidden="1">
              <a:extLst>
                <a:ext uri="{63B3BB69-23CF-44E3-9099-C40C66FF867C}">
                  <a14:compatExt spid="_x0000_s1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637</xdr:row>
          <xdr:rowOff>9525</xdr:rowOff>
        </xdr:from>
        <xdr:to>
          <xdr:col>6</xdr:col>
          <xdr:colOff>114300</xdr:colOff>
          <xdr:row>639</xdr:row>
          <xdr:rowOff>85725</xdr:rowOff>
        </xdr:to>
        <xdr:sp macro="" textlink="">
          <xdr:nvSpPr>
            <xdr:cNvPr id="1526" name="Check Box 502" hidden="1">
              <a:extLst>
                <a:ext uri="{63B3BB69-23CF-44E3-9099-C40C66FF867C}">
                  <a14:compatExt spid="_x0000_s1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38100</xdr:rowOff>
        </xdr:from>
        <xdr:to>
          <xdr:col>1</xdr:col>
          <xdr:colOff>514350</xdr:colOff>
          <xdr:row>643</xdr:row>
          <xdr:rowOff>76200</xdr:rowOff>
        </xdr:to>
        <xdr:sp macro="" textlink="">
          <xdr:nvSpPr>
            <xdr:cNvPr id="1527" name="Check Box 503" hidden="1">
              <a:extLst>
                <a:ext uri="{63B3BB69-23CF-44E3-9099-C40C66FF867C}">
                  <a14:compatExt spid="_x0000_s1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 ocaciones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641</xdr:row>
          <xdr:rowOff>142875</xdr:rowOff>
        </xdr:from>
        <xdr:to>
          <xdr:col>3</xdr:col>
          <xdr:colOff>47625</xdr:colOff>
          <xdr:row>642</xdr:row>
          <xdr:rowOff>161925</xdr:rowOff>
        </xdr:to>
        <xdr:sp macro="" textlink="">
          <xdr:nvSpPr>
            <xdr:cNvPr id="1528" name="Check Box 504" hidden="1">
              <a:extLst>
                <a:ext uri="{63B3BB69-23CF-44E3-9099-C40C66FF867C}">
                  <a14:compatExt spid="_x0000_s1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 nunca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641</xdr:row>
          <xdr:rowOff>9525</xdr:rowOff>
        </xdr:from>
        <xdr:to>
          <xdr:col>6</xdr:col>
          <xdr:colOff>114300</xdr:colOff>
          <xdr:row>643</xdr:row>
          <xdr:rowOff>85725</xdr:rowOff>
        </xdr:to>
        <xdr:sp macro="" textlink="">
          <xdr:nvSpPr>
            <xdr:cNvPr id="1529" name="Check Box 505" hidden="1">
              <a:extLst>
                <a:ext uri="{63B3BB69-23CF-44E3-9099-C40C66FF867C}">
                  <a14:compatExt spid="_x0000_s1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Nunca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38100</xdr:rowOff>
        </xdr:from>
        <xdr:to>
          <xdr:col>1</xdr:col>
          <xdr:colOff>514350</xdr:colOff>
          <xdr:row>647</xdr:row>
          <xdr:rowOff>76200</xdr:rowOff>
        </xdr:to>
        <xdr:sp macro="" textlink="">
          <xdr:nvSpPr>
            <xdr:cNvPr id="1530" name="Check Box 506" hidden="1">
              <a:extLst>
                <a:ext uri="{63B3BB69-23CF-44E3-9099-C40C66FF867C}">
                  <a14:compatExt spid="_x0000_s1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645</xdr:row>
          <xdr:rowOff>142875</xdr:rowOff>
        </xdr:from>
        <xdr:to>
          <xdr:col>3</xdr:col>
          <xdr:colOff>47625</xdr:colOff>
          <xdr:row>646</xdr:row>
          <xdr:rowOff>161925</xdr:rowOff>
        </xdr:to>
        <xdr:sp macro="" textlink="">
          <xdr:nvSpPr>
            <xdr:cNvPr id="1531" name="Check Box 507" hidden="1">
              <a:extLst>
                <a:ext uri="{63B3BB69-23CF-44E3-9099-C40C66FF867C}">
                  <a14:compatExt spid="_x0000_s1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645</xdr:row>
          <xdr:rowOff>9525</xdr:rowOff>
        </xdr:from>
        <xdr:to>
          <xdr:col>6</xdr:col>
          <xdr:colOff>114300</xdr:colOff>
          <xdr:row>647</xdr:row>
          <xdr:rowOff>85725</xdr:rowOff>
        </xdr:to>
        <xdr:sp macro="" textlink="">
          <xdr:nvSpPr>
            <xdr:cNvPr id="1532" name="Check Box 508" hidden="1">
              <a:extLst>
                <a:ext uri="{63B3BB69-23CF-44E3-9099-C40C66FF867C}">
                  <a14:compatExt spid="_x0000_s1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38100</xdr:rowOff>
        </xdr:from>
        <xdr:to>
          <xdr:col>1</xdr:col>
          <xdr:colOff>514350</xdr:colOff>
          <xdr:row>651</xdr:row>
          <xdr:rowOff>76200</xdr:rowOff>
        </xdr:to>
        <xdr:sp macro="" textlink="">
          <xdr:nvSpPr>
            <xdr:cNvPr id="1533" name="Check Box 509" hidden="1">
              <a:extLst>
                <a:ext uri="{63B3BB69-23CF-44E3-9099-C40C66FF867C}">
                  <a14:compatExt spid="_x0000_s1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649</xdr:row>
          <xdr:rowOff>142875</xdr:rowOff>
        </xdr:from>
        <xdr:to>
          <xdr:col>3</xdr:col>
          <xdr:colOff>47625</xdr:colOff>
          <xdr:row>650</xdr:row>
          <xdr:rowOff>161925</xdr:rowOff>
        </xdr:to>
        <xdr:sp macro="" textlink="">
          <xdr:nvSpPr>
            <xdr:cNvPr id="1534" name="Check Box 510" hidden="1">
              <a:extLst>
                <a:ext uri="{63B3BB69-23CF-44E3-9099-C40C66FF867C}">
                  <a14:compatExt spid="_x0000_s1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649</xdr:row>
          <xdr:rowOff>9525</xdr:rowOff>
        </xdr:from>
        <xdr:to>
          <xdr:col>6</xdr:col>
          <xdr:colOff>114300</xdr:colOff>
          <xdr:row>651</xdr:row>
          <xdr:rowOff>85725</xdr:rowOff>
        </xdr:to>
        <xdr:sp macro="" textlink="">
          <xdr:nvSpPr>
            <xdr:cNvPr id="1535" name="Check Box 511" hidden="1">
              <a:extLst>
                <a:ext uri="{63B3BB69-23CF-44E3-9099-C40C66FF867C}">
                  <a14:compatExt spid="_x0000_s1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38100</xdr:rowOff>
        </xdr:from>
        <xdr:to>
          <xdr:col>1</xdr:col>
          <xdr:colOff>514350</xdr:colOff>
          <xdr:row>655</xdr:row>
          <xdr:rowOff>76200</xdr:rowOff>
        </xdr:to>
        <xdr:sp macro="" textlink="">
          <xdr:nvSpPr>
            <xdr:cNvPr id="1536" name="Check Box 512" hidden="1">
              <a:extLst>
                <a:ext uri="{63B3BB69-23CF-44E3-9099-C40C66FF867C}">
                  <a14:compatExt spid="_x0000_s1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653</xdr:row>
          <xdr:rowOff>142875</xdr:rowOff>
        </xdr:from>
        <xdr:to>
          <xdr:col>3</xdr:col>
          <xdr:colOff>47625</xdr:colOff>
          <xdr:row>654</xdr:row>
          <xdr:rowOff>161925</xdr:rowOff>
        </xdr:to>
        <xdr:sp macro="" textlink="">
          <xdr:nvSpPr>
            <xdr:cNvPr id="1537" name="Check Box 513" hidden="1">
              <a:extLst>
                <a:ext uri="{63B3BB69-23CF-44E3-9099-C40C66FF867C}">
                  <a14:compatExt spid="_x0000_s1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653</xdr:row>
          <xdr:rowOff>9525</xdr:rowOff>
        </xdr:from>
        <xdr:to>
          <xdr:col>5</xdr:col>
          <xdr:colOff>742950</xdr:colOff>
          <xdr:row>655</xdr:row>
          <xdr:rowOff>85725</xdr:rowOff>
        </xdr:to>
        <xdr:sp macro="" textlink="">
          <xdr:nvSpPr>
            <xdr:cNvPr id="1538" name="Check Box 514" hidden="1">
              <a:extLst>
                <a:ext uri="{63B3BB69-23CF-44E3-9099-C40C66FF867C}">
                  <a14:compatExt spid="_x0000_s1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38100</xdr:rowOff>
        </xdr:from>
        <xdr:to>
          <xdr:col>1</xdr:col>
          <xdr:colOff>514350</xdr:colOff>
          <xdr:row>659</xdr:row>
          <xdr:rowOff>76200</xdr:rowOff>
        </xdr:to>
        <xdr:sp macro="" textlink="">
          <xdr:nvSpPr>
            <xdr:cNvPr id="1539" name="Check Box 515" hidden="1">
              <a:extLst>
                <a:ext uri="{63B3BB69-23CF-44E3-9099-C40C66FF867C}">
                  <a14:compatExt spid="_x0000_s1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Español y literatura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657</xdr:row>
          <xdr:rowOff>142875</xdr:rowOff>
        </xdr:from>
        <xdr:to>
          <xdr:col>3</xdr:col>
          <xdr:colOff>47625</xdr:colOff>
          <xdr:row>658</xdr:row>
          <xdr:rowOff>161925</xdr:rowOff>
        </xdr:to>
        <xdr:sp macro="" textlink="">
          <xdr:nvSpPr>
            <xdr:cNvPr id="1540" name="Check Box 516" hidden="1">
              <a:extLst>
                <a:ext uri="{63B3BB69-23CF-44E3-9099-C40C66FF867C}">
                  <a14:compatExt spid="_x0000_s1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657</xdr:row>
          <xdr:rowOff>9525</xdr:rowOff>
        </xdr:from>
        <xdr:to>
          <xdr:col>5</xdr:col>
          <xdr:colOff>771525</xdr:colOff>
          <xdr:row>659</xdr:row>
          <xdr:rowOff>85725</xdr:rowOff>
        </xdr:to>
        <xdr:sp macro="" textlink="">
          <xdr:nvSpPr>
            <xdr:cNvPr id="1541" name="Check Box 517" hidden="1">
              <a:extLst>
                <a:ext uri="{63B3BB69-23CF-44E3-9099-C40C66FF867C}">
                  <a14:compatExt spid="_x0000_s1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Aritmetica y matemática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38100</xdr:rowOff>
        </xdr:from>
        <xdr:to>
          <xdr:col>1</xdr:col>
          <xdr:colOff>514350</xdr:colOff>
          <xdr:row>663</xdr:row>
          <xdr:rowOff>76200</xdr:rowOff>
        </xdr:to>
        <xdr:sp macro="" textlink="">
          <xdr:nvSpPr>
            <xdr:cNvPr id="1542" name="Check Box 518" hidden="1">
              <a:extLst>
                <a:ext uri="{63B3BB69-23CF-44E3-9099-C40C66FF867C}">
                  <a14:compatExt spid="_x0000_s1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661</xdr:row>
          <xdr:rowOff>142875</xdr:rowOff>
        </xdr:from>
        <xdr:to>
          <xdr:col>3</xdr:col>
          <xdr:colOff>47625</xdr:colOff>
          <xdr:row>662</xdr:row>
          <xdr:rowOff>161925</xdr:rowOff>
        </xdr:to>
        <xdr:sp macro="" textlink="">
          <xdr:nvSpPr>
            <xdr:cNvPr id="1543" name="Check Box 519" hidden="1">
              <a:extLst>
                <a:ext uri="{63B3BB69-23CF-44E3-9099-C40C66FF867C}">
                  <a14:compatExt spid="_x0000_s1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661</xdr:row>
          <xdr:rowOff>9525</xdr:rowOff>
        </xdr:from>
        <xdr:to>
          <xdr:col>5</xdr:col>
          <xdr:colOff>790575</xdr:colOff>
          <xdr:row>663</xdr:row>
          <xdr:rowOff>85725</xdr:rowOff>
        </xdr:to>
        <xdr:sp macro="" textlink="">
          <xdr:nvSpPr>
            <xdr:cNvPr id="1544" name="Check Box 520" hidden="1">
              <a:extLst>
                <a:ext uri="{63B3BB69-23CF-44E3-9099-C40C66FF867C}">
                  <a14:compatExt spid="_x0000_s1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38100</xdr:rowOff>
        </xdr:from>
        <xdr:to>
          <xdr:col>1</xdr:col>
          <xdr:colOff>514350</xdr:colOff>
          <xdr:row>667</xdr:row>
          <xdr:rowOff>76200</xdr:rowOff>
        </xdr:to>
        <xdr:sp macro="" textlink="">
          <xdr:nvSpPr>
            <xdr:cNvPr id="1545" name="Check Box 521" hidden="1">
              <a:extLst>
                <a:ext uri="{63B3BB69-23CF-44E3-9099-C40C66FF867C}">
                  <a14:compatExt spid="_x0000_s1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 a menudo interesante e importante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665</xdr:row>
          <xdr:rowOff>142875</xdr:rowOff>
        </xdr:from>
        <xdr:to>
          <xdr:col>3</xdr:col>
          <xdr:colOff>47625</xdr:colOff>
          <xdr:row>666</xdr:row>
          <xdr:rowOff>161925</xdr:rowOff>
        </xdr:to>
        <xdr:sp macro="" textlink="">
          <xdr:nvSpPr>
            <xdr:cNvPr id="1546" name="Check Box 522" hidden="1">
              <a:extLst>
                <a:ext uri="{63B3BB69-23CF-44E3-9099-C40C66FF867C}">
                  <a14:compatExt spid="_x0000_s1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665</xdr:row>
          <xdr:rowOff>9525</xdr:rowOff>
        </xdr:from>
        <xdr:to>
          <xdr:col>5</xdr:col>
          <xdr:colOff>771525</xdr:colOff>
          <xdr:row>667</xdr:row>
          <xdr:rowOff>85725</xdr:rowOff>
        </xdr:to>
        <xdr:sp macro="" textlink="">
          <xdr:nvSpPr>
            <xdr:cNvPr id="1547" name="Check Box 523" hidden="1">
              <a:extLst>
                <a:ext uri="{63B3BB69-23CF-44E3-9099-C40C66FF867C}">
                  <a14:compatExt spid="_x0000_s1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 molesta porque dicen  cosas tontas y superficiales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38100</xdr:rowOff>
        </xdr:from>
        <xdr:to>
          <xdr:col>1</xdr:col>
          <xdr:colOff>514350</xdr:colOff>
          <xdr:row>671</xdr:row>
          <xdr:rowOff>76200</xdr:rowOff>
        </xdr:to>
        <xdr:sp macro="" textlink="">
          <xdr:nvSpPr>
            <xdr:cNvPr id="1548" name="Check Box 524" hidden="1">
              <a:extLst>
                <a:ext uri="{63B3BB69-23CF-44E3-9099-C40C66FF867C}">
                  <a14:compatExt spid="_x0000_s1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669</xdr:row>
          <xdr:rowOff>142875</xdr:rowOff>
        </xdr:from>
        <xdr:to>
          <xdr:col>3</xdr:col>
          <xdr:colOff>47625</xdr:colOff>
          <xdr:row>670</xdr:row>
          <xdr:rowOff>161925</xdr:rowOff>
        </xdr:to>
        <xdr:sp macro="" textlink="">
          <xdr:nvSpPr>
            <xdr:cNvPr id="1549" name="Check Box 525" hidden="1">
              <a:extLst>
                <a:ext uri="{63B3BB69-23CF-44E3-9099-C40C66FF867C}">
                  <a14:compatExt spid="_x0000_s1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669</xdr:row>
          <xdr:rowOff>9525</xdr:rowOff>
        </xdr:from>
        <xdr:to>
          <xdr:col>6</xdr:col>
          <xdr:colOff>114300</xdr:colOff>
          <xdr:row>671</xdr:row>
          <xdr:rowOff>85725</xdr:rowOff>
        </xdr:to>
        <xdr:sp macro="" textlink="">
          <xdr:nvSpPr>
            <xdr:cNvPr id="1550" name="Check Box 526" hidden="1">
              <a:extLst>
                <a:ext uri="{63B3BB69-23CF-44E3-9099-C40C66FF867C}">
                  <a14:compatExt spid="_x0000_s1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38100</xdr:rowOff>
        </xdr:from>
        <xdr:to>
          <xdr:col>1</xdr:col>
          <xdr:colOff>514350</xdr:colOff>
          <xdr:row>675</xdr:row>
          <xdr:rowOff>76200</xdr:rowOff>
        </xdr:to>
        <xdr:sp macro="" textlink="">
          <xdr:nvSpPr>
            <xdr:cNvPr id="1551" name="Check Box 527" hidden="1">
              <a:extLst>
                <a:ext uri="{63B3BB69-23CF-44E3-9099-C40C66FF867C}">
                  <a14:compatExt spid="_x0000_s1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 suficiente afecto a los niños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673</xdr:row>
          <xdr:rowOff>142875</xdr:rowOff>
        </xdr:from>
        <xdr:to>
          <xdr:col>3</xdr:col>
          <xdr:colOff>47625</xdr:colOff>
          <xdr:row>674</xdr:row>
          <xdr:rowOff>161925</xdr:rowOff>
        </xdr:to>
        <xdr:sp macro="" textlink="">
          <xdr:nvSpPr>
            <xdr:cNvPr id="1552" name="Check Box 528" hidden="1">
              <a:extLst>
                <a:ext uri="{63B3BB69-23CF-44E3-9099-C40C66FF867C}">
                  <a14:compatExt spid="_x0000_s1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673</xdr:row>
          <xdr:rowOff>9525</xdr:rowOff>
        </xdr:from>
        <xdr:to>
          <xdr:col>5</xdr:col>
          <xdr:colOff>762000</xdr:colOff>
          <xdr:row>675</xdr:row>
          <xdr:rowOff>85725</xdr:rowOff>
        </xdr:to>
        <xdr:sp macro="" textlink="">
          <xdr:nvSpPr>
            <xdr:cNvPr id="1553" name="Check Box 529" hidden="1">
              <a:extLst>
                <a:ext uri="{63B3BB69-23CF-44E3-9099-C40C66FF867C}">
                  <a14:compatExt spid="_x0000_s1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 los niños aprendan h{abitos y actitudes convencionales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38100</xdr:rowOff>
        </xdr:from>
        <xdr:to>
          <xdr:col>1</xdr:col>
          <xdr:colOff>514350</xdr:colOff>
          <xdr:row>679</xdr:row>
          <xdr:rowOff>76200</xdr:rowOff>
        </xdr:to>
        <xdr:sp macro="" textlink="">
          <xdr:nvSpPr>
            <xdr:cNvPr id="1554" name="Check Box 530" hidden="1">
              <a:extLst>
                <a:ext uri="{63B3BB69-23CF-44E3-9099-C40C66FF867C}">
                  <a14:compatExt spid="_x0000_s1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677</xdr:row>
          <xdr:rowOff>142875</xdr:rowOff>
        </xdr:from>
        <xdr:to>
          <xdr:col>3</xdr:col>
          <xdr:colOff>47625</xdr:colOff>
          <xdr:row>678</xdr:row>
          <xdr:rowOff>161925</xdr:rowOff>
        </xdr:to>
        <xdr:sp macro="" textlink="">
          <xdr:nvSpPr>
            <xdr:cNvPr id="1555" name="Check Box 531" hidden="1">
              <a:extLst>
                <a:ext uri="{63B3BB69-23CF-44E3-9099-C40C66FF867C}">
                  <a14:compatExt spid="_x0000_s1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677</xdr:row>
          <xdr:rowOff>9525</xdr:rowOff>
        </xdr:from>
        <xdr:to>
          <xdr:col>6</xdr:col>
          <xdr:colOff>114300</xdr:colOff>
          <xdr:row>679</xdr:row>
          <xdr:rowOff>85725</xdr:rowOff>
        </xdr:to>
        <xdr:sp macro="" textlink="">
          <xdr:nvSpPr>
            <xdr:cNvPr id="1556" name="Check Box 532" hidden="1">
              <a:extLst>
                <a:ext uri="{63B3BB69-23CF-44E3-9099-C40C66FF867C}">
                  <a14:compatExt spid="_x0000_s1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38100</xdr:rowOff>
        </xdr:from>
        <xdr:to>
          <xdr:col>1</xdr:col>
          <xdr:colOff>514350</xdr:colOff>
          <xdr:row>683</xdr:row>
          <xdr:rowOff>76200</xdr:rowOff>
        </xdr:to>
        <xdr:sp macro="" textlink="">
          <xdr:nvSpPr>
            <xdr:cNvPr id="1557" name="Check Box 533" hidden="1">
              <a:extLst>
                <a:ext uri="{63B3BB69-23CF-44E3-9099-C40C66FF867C}">
                  <a14:compatExt spid="_x0000_s1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681</xdr:row>
          <xdr:rowOff>142875</xdr:rowOff>
        </xdr:from>
        <xdr:to>
          <xdr:col>3</xdr:col>
          <xdr:colOff>47625</xdr:colOff>
          <xdr:row>682</xdr:row>
          <xdr:rowOff>161925</xdr:rowOff>
        </xdr:to>
        <xdr:sp macro="" textlink="">
          <xdr:nvSpPr>
            <xdr:cNvPr id="1558" name="Check Box 534" hidden="1">
              <a:extLst>
                <a:ext uri="{63B3BB69-23CF-44E3-9099-C40C66FF867C}">
                  <a14:compatExt spid="_x0000_s1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681</xdr:row>
          <xdr:rowOff>9525</xdr:rowOff>
        </xdr:from>
        <xdr:to>
          <xdr:col>6</xdr:col>
          <xdr:colOff>114300</xdr:colOff>
          <xdr:row>683</xdr:row>
          <xdr:rowOff>85725</xdr:rowOff>
        </xdr:to>
        <xdr:sp macro="" textlink="">
          <xdr:nvSpPr>
            <xdr:cNvPr id="1559" name="Check Box 535" hidden="1">
              <a:extLst>
                <a:ext uri="{63B3BB69-23CF-44E3-9099-C40C66FF867C}">
                  <a14:compatExt spid="_x0000_s1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38100</xdr:rowOff>
        </xdr:from>
        <xdr:to>
          <xdr:col>1</xdr:col>
          <xdr:colOff>514350</xdr:colOff>
          <xdr:row>687</xdr:row>
          <xdr:rowOff>76200</xdr:rowOff>
        </xdr:to>
        <xdr:sp macro="" textlink="">
          <xdr:nvSpPr>
            <xdr:cNvPr id="1560" name="Check Box 536" hidden="1">
              <a:extLst>
                <a:ext uri="{63B3BB69-23CF-44E3-9099-C40C66FF867C}">
                  <a14:compatExt spid="_x0000_s1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Los asuntos sobre moralidad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685</xdr:row>
          <xdr:rowOff>142875</xdr:rowOff>
        </xdr:from>
        <xdr:to>
          <xdr:col>3</xdr:col>
          <xdr:colOff>47625</xdr:colOff>
          <xdr:row>686</xdr:row>
          <xdr:rowOff>161925</xdr:rowOff>
        </xdr:to>
        <xdr:sp macro="" textlink="">
          <xdr:nvSpPr>
            <xdr:cNvPr id="1561" name="Check Box 537" hidden="1">
              <a:extLst>
                <a:ext uri="{63B3BB69-23CF-44E3-9099-C40C66FF867C}">
                  <a14:compatExt spid="_x0000_s1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685</xdr:row>
          <xdr:rowOff>9525</xdr:rowOff>
        </xdr:from>
        <xdr:to>
          <xdr:col>6</xdr:col>
          <xdr:colOff>114300</xdr:colOff>
          <xdr:row>687</xdr:row>
          <xdr:rowOff>85725</xdr:rowOff>
        </xdr:to>
        <xdr:sp macro="" textlink="">
          <xdr:nvSpPr>
            <xdr:cNvPr id="1562" name="Check Box 538" hidden="1">
              <a:extLst>
                <a:ext uri="{63B3BB69-23CF-44E3-9099-C40C66FF867C}">
                  <a14:compatExt spid="_x0000_s1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 dificultades politicas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38100</xdr:rowOff>
        </xdr:from>
        <xdr:to>
          <xdr:col>1</xdr:col>
          <xdr:colOff>514350</xdr:colOff>
          <xdr:row>611</xdr:row>
          <xdr:rowOff>76200</xdr:rowOff>
        </xdr:to>
        <xdr:sp macro="" textlink="">
          <xdr:nvSpPr>
            <xdr:cNvPr id="1563" name="Check Box 539" hidden="1">
              <a:extLst>
                <a:ext uri="{63B3BB69-23CF-44E3-9099-C40C66FF867C}">
                  <a14:compatExt spid="_x0000_s1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 artista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613</xdr:row>
          <xdr:rowOff>142875</xdr:rowOff>
        </xdr:from>
        <xdr:to>
          <xdr:col>3</xdr:col>
          <xdr:colOff>47625</xdr:colOff>
          <xdr:row>614</xdr:row>
          <xdr:rowOff>161925</xdr:rowOff>
        </xdr:to>
        <xdr:sp macro="" textlink="">
          <xdr:nvSpPr>
            <xdr:cNvPr id="1565" name="Check Box 541" hidden="1">
              <a:extLst>
                <a:ext uri="{63B3BB69-23CF-44E3-9099-C40C66FF867C}">
                  <a14:compatExt spid="_x0000_s1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613</xdr:row>
          <xdr:rowOff>9525</xdr:rowOff>
        </xdr:from>
        <xdr:to>
          <xdr:col>5</xdr:col>
          <xdr:colOff>790575</xdr:colOff>
          <xdr:row>615</xdr:row>
          <xdr:rowOff>85725</xdr:rowOff>
        </xdr:to>
        <xdr:sp macro="" textlink="">
          <xdr:nvSpPr>
            <xdr:cNvPr id="1566" name="Check Box 542" hidden="1">
              <a:extLst>
                <a:ext uri="{63B3BB69-23CF-44E3-9099-C40C66FF867C}">
                  <a14:compatExt spid="_x0000_s1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Muchos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38100</xdr:rowOff>
        </xdr:from>
        <xdr:to>
          <xdr:col>1</xdr:col>
          <xdr:colOff>514350</xdr:colOff>
          <xdr:row>615</xdr:row>
          <xdr:rowOff>76200</xdr:rowOff>
        </xdr:to>
        <xdr:sp macro="" textlink="">
          <xdr:nvSpPr>
            <xdr:cNvPr id="1567" name="Check Box 543" hidden="1">
              <a:extLst>
                <a:ext uri="{63B3BB69-23CF-44E3-9099-C40C66FF867C}">
                  <a14:compatExt spid="_x0000_s1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Alguno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38100</xdr:rowOff>
        </xdr:from>
        <xdr:to>
          <xdr:col>1</xdr:col>
          <xdr:colOff>514350</xdr:colOff>
          <xdr:row>691</xdr:row>
          <xdr:rowOff>76200</xdr:rowOff>
        </xdr:to>
        <xdr:sp macro="" textlink="">
          <xdr:nvSpPr>
            <xdr:cNvPr id="1568" name="Check Box 544" hidden="1">
              <a:extLst>
                <a:ext uri="{63B3BB69-23CF-44E3-9099-C40C66FF867C}">
                  <a14:compatExt spid="_x0000_s1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Leyendo un libro bien escrito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689</xdr:row>
          <xdr:rowOff>142875</xdr:rowOff>
        </xdr:from>
        <xdr:to>
          <xdr:col>3</xdr:col>
          <xdr:colOff>47625</xdr:colOff>
          <xdr:row>690</xdr:row>
          <xdr:rowOff>161925</xdr:rowOff>
        </xdr:to>
        <xdr:sp macro="" textlink="">
          <xdr:nvSpPr>
            <xdr:cNvPr id="1569" name="Check Box 545" hidden="1">
              <a:extLst>
                <a:ext uri="{63B3BB69-23CF-44E3-9099-C40C66FF867C}">
                  <a14:compatExt spid="_x0000_s1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689</xdr:row>
          <xdr:rowOff>9525</xdr:rowOff>
        </xdr:from>
        <xdr:to>
          <xdr:col>6</xdr:col>
          <xdr:colOff>114300</xdr:colOff>
          <xdr:row>691</xdr:row>
          <xdr:rowOff>85725</xdr:rowOff>
        </xdr:to>
        <xdr:sp macro="" textlink="">
          <xdr:nvSpPr>
            <xdr:cNvPr id="1570" name="Check Box 546" hidden="1">
              <a:extLst>
                <a:ext uri="{63B3BB69-23CF-44E3-9099-C40C66FF867C}">
                  <a14:compatExt spid="_x0000_s1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Participando en una discusión de grupo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38100</xdr:rowOff>
        </xdr:from>
        <xdr:to>
          <xdr:col>1</xdr:col>
          <xdr:colOff>514350</xdr:colOff>
          <xdr:row>695</xdr:row>
          <xdr:rowOff>76200</xdr:rowOff>
        </xdr:to>
        <xdr:sp macro="" textlink="">
          <xdr:nvSpPr>
            <xdr:cNvPr id="1571" name="Check Box 547" hidden="1">
              <a:extLst>
                <a:ext uri="{63B3BB69-23CF-44E3-9099-C40C66FF867C}">
                  <a14:compatExt spid="_x0000_s1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693</xdr:row>
          <xdr:rowOff>142875</xdr:rowOff>
        </xdr:from>
        <xdr:to>
          <xdr:col>3</xdr:col>
          <xdr:colOff>47625</xdr:colOff>
          <xdr:row>694</xdr:row>
          <xdr:rowOff>161925</xdr:rowOff>
        </xdr:to>
        <xdr:sp macro="" textlink="">
          <xdr:nvSpPr>
            <xdr:cNvPr id="1572" name="Check Box 548" hidden="1">
              <a:extLst>
                <a:ext uri="{63B3BB69-23CF-44E3-9099-C40C66FF867C}">
                  <a14:compatExt spid="_x0000_s1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693</xdr:row>
          <xdr:rowOff>9525</xdr:rowOff>
        </xdr:from>
        <xdr:to>
          <xdr:col>6</xdr:col>
          <xdr:colOff>114300</xdr:colOff>
          <xdr:row>695</xdr:row>
          <xdr:rowOff>85725</xdr:rowOff>
        </xdr:to>
        <xdr:sp macro="" textlink="">
          <xdr:nvSpPr>
            <xdr:cNvPr id="1573" name="Check Box 549" hidden="1">
              <a:extLst>
                <a:ext uri="{63B3BB69-23CF-44E3-9099-C40C66FF867C}">
                  <a14:compatExt spid="_x0000_s1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38100</xdr:rowOff>
        </xdr:from>
        <xdr:to>
          <xdr:col>1</xdr:col>
          <xdr:colOff>514350</xdr:colOff>
          <xdr:row>699</xdr:row>
          <xdr:rowOff>76200</xdr:rowOff>
        </xdr:to>
        <xdr:sp macro="" textlink="">
          <xdr:nvSpPr>
            <xdr:cNvPr id="1574" name="Check Box 550" hidden="1">
              <a:extLst>
                <a:ext uri="{63B3BB69-23CF-44E3-9099-C40C66FF867C}">
                  <a14:compatExt spid="_x0000_s1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Siempre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697</xdr:row>
          <xdr:rowOff>142875</xdr:rowOff>
        </xdr:from>
        <xdr:to>
          <xdr:col>3</xdr:col>
          <xdr:colOff>47625</xdr:colOff>
          <xdr:row>698</xdr:row>
          <xdr:rowOff>161925</xdr:rowOff>
        </xdr:to>
        <xdr:sp macro="" textlink="">
          <xdr:nvSpPr>
            <xdr:cNvPr id="1575" name="Check Box 551" hidden="1">
              <a:extLst>
                <a:ext uri="{63B3BB69-23CF-44E3-9099-C40C66FF867C}">
                  <a14:compatExt spid="_x0000_s1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 general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697</xdr:row>
          <xdr:rowOff>9525</xdr:rowOff>
        </xdr:from>
        <xdr:to>
          <xdr:col>6</xdr:col>
          <xdr:colOff>114300</xdr:colOff>
          <xdr:row>699</xdr:row>
          <xdr:rowOff>85725</xdr:rowOff>
        </xdr:to>
        <xdr:sp macro="" textlink="">
          <xdr:nvSpPr>
            <xdr:cNvPr id="1576" name="Check Box 552" hidden="1">
              <a:extLst>
                <a:ext uri="{63B3BB69-23CF-44E3-9099-C40C66FF867C}">
                  <a14:compatExt spid="_x0000_s1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Solamente si es posible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38100</xdr:rowOff>
        </xdr:from>
        <xdr:to>
          <xdr:col>1</xdr:col>
          <xdr:colOff>514350</xdr:colOff>
          <xdr:row>703</xdr:row>
          <xdr:rowOff>76200</xdr:rowOff>
        </xdr:to>
        <xdr:sp macro="" textlink="">
          <xdr:nvSpPr>
            <xdr:cNvPr id="1577" name="Check Box 553" hidden="1">
              <a:extLst>
                <a:ext uri="{63B3BB69-23CF-44E3-9099-C40C66FF867C}">
                  <a14:compatExt spid="_x0000_s1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701</xdr:row>
          <xdr:rowOff>142875</xdr:rowOff>
        </xdr:from>
        <xdr:to>
          <xdr:col>3</xdr:col>
          <xdr:colOff>47625</xdr:colOff>
          <xdr:row>702</xdr:row>
          <xdr:rowOff>161925</xdr:rowOff>
        </xdr:to>
        <xdr:sp macro="" textlink="">
          <xdr:nvSpPr>
            <xdr:cNvPr id="1578" name="Check Box 554" hidden="1">
              <a:extLst>
                <a:ext uri="{63B3BB69-23CF-44E3-9099-C40C66FF867C}">
                  <a14:compatExt spid="_x0000_s1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701</xdr:row>
          <xdr:rowOff>9525</xdr:rowOff>
        </xdr:from>
        <xdr:to>
          <xdr:col>6</xdr:col>
          <xdr:colOff>114300</xdr:colOff>
          <xdr:row>703</xdr:row>
          <xdr:rowOff>85725</xdr:rowOff>
        </xdr:to>
        <xdr:sp macro="" textlink="">
          <xdr:nvSpPr>
            <xdr:cNvPr id="1579" name="Check Box 555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38100</xdr:rowOff>
        </xdr:from>
        <xdr:to>
          <xdr:col>1</xdr:col>
          <xdr:colOff>514350</xdr:colOff>
          <xdr:row>707</xdr:row>
          <xdr:rowOff>76200</xdr:rowOff>
        </xdr:to>
        <xdr:sp macro="" textlink="">
          <xdr:nvSpPr>
            <xdr:cNvPr id="1580" name="Check Box 556" hidden="1">
              <a:extLst>
                <a:ext uri="{63B3BB69-23CF-44E3-9099-C40C66FF867C}">
                  <a14:compatExt spid="_x0000_s1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705</xdr:row>
          <xdr:rowOff>142875</xdr:rowOff>
        </xdr:from>
        <xdr:to>
          <xdr:col>3</xdr:col>
          <xdr:colOff>47625</xdr:colOff>
          <xdr:row>706</xdr:row>
          <xdr:rowOff>161925</xdr:rowOff>
        </xdr:to>
        <xdr:sp macro="" textlink="">
          <xdr:nvSpPr>
            <xdr:cNvPr id="1581" name="Check Box 557" hidden="1">
              <a:extLst>
                <a:ext uri="{63B3BB69-23CF-44E3-9099-C40C66FF867C}">
                  <a14:compatExt spid="_x0000_s1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705</xdr:row>
          <xdr:rowOff>9525</xdr:rowOff>
        </xdr:from>
        <xdr:to>
          <xdr:col>6</xdr:col>
          <xdr:colOff>114300</xdr:colOff>
          <xdr:row>707</xdr:row>
          <xdr:rowOff>85725</xdr:rowOff>
        </xdr:to>
        <xdr:sp macro="" textlink="">
          <xdr:nvSpPr>
            <xdr:cNvPr id="1582" name="Check Box 558" hidden="1">
              <a:extLst>
                <a:ext uri="{63B3BB69-23CF-44E3-9099-C40C66FF867C}">
                  <a14:compatExt spid="_x0000_s1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38100</xdr:rowOff>
        </xdr:from>
        <xdr:to>
          <xdr:col>1</xdr:col>
          <xdr:colOff>514350</xdr:colOff>
          <xdr:row>711</xdr:row>
          <xdr:rowOff>76200</xdr:rowOff>
        </xdr:to>
        <xdr:sp macro="" textlink="">
          <xdr:nvSpPr>
            <xdr:cNvPr id="1583" name="Check Box 559" hidden="1">
              <a:extLst>
                <a:ext uri="{63B3BB69-23CF-44E3-9099-C40C66FF867C}">
                  <a14:compatExt spid="_x0000_s1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Aceptaría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709</xdr:row>
          <xdr:rowOff>142875</xdr:rowOff>
        </xdr:from>
        <xdr:to>
          <xdr:col>3</xdr:col>
          <xdr:colOff>47625</xdr:colOff>
          <xdr:row>710</xdr:row>
          <xdr:rowOff>161925</xdr:rowOff>
        </xdr:to>
        <xdr:sp macro="" textlink="">
          <xdr:nvSpPr>
            <xdr:cNvPr id="1584" name="Check Box 560" hidden="1">
              <a:extLst>
                <a:ext uri="{63B3BB69-23CF-44E3-9099-C40C66FF867C}">
                  <a14:compatExt spid="_x0000_s1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709</xdr:row>
          <xdr:rowOff>9525</xdr:rowOff>
        </xdr:from>
        <xdr:to>
          <xdr:col>6</xdr:col>
          <xdr:colOff>114300</xdr:colOff>
          <xdr:row>711</xdr:row>
          <xdr:rowOff>85725</xdr:rowOff>
        </xdr:to>
        <xdr:sp macro="" textlink="">
          <xdr:nvSpPr>
            <xdr:cNvPr id="1585" name="Check Box 561" hidden="1">
              <a:extLst>
                <a:ext uri="{63B3BB69-23CF-44E3-9099-C40C66FF867C}">
                  <a14:compatExt spid="_x0000_s1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Diría con cortesía que estoy ocupado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38100</xdr:rowOff>
        </xdr:from>
        <xdr:to>
          <xdr:col>1</xdr:col>
          <xdr:colOff>514350</xdr:colOff>
          <xdr:row>715</xdr:row>
          <xdr:rowOff>76200</xdr:rowOff>
        </xdr:to>
        <xdr:sp macro="" textlink="">
          <xdr:nvSpPr>
            <xdr:cNvPr id="1586" name="Check Box 562" hidden="1">
              <a:extLst>
                <a:ext uri="{63B3BB69-23CF-44E3-9099-C40C66FF867C}">
                  <a14:compatExt spid="_x0000_s1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Ancho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713</xdr:row>
          <xdr:rowOff>142875</xdr:rowOff>
        </xdr:from>
        <xdr:to>
          <xdr:col>3</xdr:col>
          <xdr:colOff>47625</xdr:colOff>
          <xdr:row>714</xdr:row>
          <xdr:rowOff>161925</xdr:rowOff>
        </xdr:to>
        <xdr:sp macro="" textlink="">
          <xdr:nvSpPr>
            <xdr:cNvPr id="1587" name="Check Box 563" hidden="1">
              <a:extLst>
                <a:ext uri="{63B3BB69-23CF-44E3-9099-C40C66FF867C}">
                  <a14:compatExt spid="_x0000_s1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Zigzag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713</xdr:row>
          <xdr:rowOff>9525</xdr:rowOff>
        </xdr:from>
        <xdr:to>
          <xdr:col>6</xdr:col>
          <xdr:colOff>114300</xdr:colOff>
          <xdr:row>715</xdr:row>
          <xdr:rowOff>85725</xdr:rowOff>
        </xdr:to>
        <xdr:sp macro="" textlink="">
          <xdr:nvSpPr>
            <xdr:cNvPr id="1588" name="Check Box 564" hidden="1">
              <a:extLst>
                <a:ext uri="{63B3BB69-23CF-44E3-9099-C40C66FF867C}">
                  <a14:compatExt spid="_x0000_s1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Derecho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38100</xdr:rowOff>
        </xdr:from>
        <xdr:to>
          <xdr:col>1</xdr:col>
          <xdr:colOff>514350</xdr:colOff>
          <xdr:row>719</xdr:row>
          <xdr:rowOff>76200</xdr:rowOff>
        </xdr:to>
        <xdr:sp macro="" textlink="">
          <xdr:nvSpPr>
            <xdr:cNvPr id="1589" name="Check Box 565" hidden="1">
              <a:extLst>
                <a:ext uri="{63B3BB69-23CF-44E3-9099-C40C66FF867C}">
                  <a14:compatExt spid="_x0000_s1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Nada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717</xdr:row>
          <xdr:rowOff>142875</xdr:rowOff>
        </xdr:from>
        <xdr:to>
          <xdr:col>3</xdr:col>
          <xdr:colOff>47625</xdr:colOff>
          <xdr:row>718</xdr:row>
          <xdr:rowOff>161925</xdr:rowOff>
        </xdr:to>
        <xdr:sp macro="" textlink="">
          <xdr:nvSpPr>
            <xdr:cNvPr id="1590" name="Check Box 566" hidden="1">
              <a:extLst>
                <a:ext uri="{63B3BB69-23CF-44E3-9099-C40C66FF867C}">
                  <a14:compatExt spid="_x0000_s1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Lejos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717</xdr:row>
          <xdr:rowOff>9525</xdr:rowOff>
        </xdr:from>
        <xdr:to>
          <xdr:col>6</xdr:col>
          <xdr:colOff>114300</xdr:colOff>
          <xdr:row>719</xdr:row>
          <xdr:rowOff>85725</xdr:rowOff>
        </xdr:to>
        <xdr:sp macro="" textlink="">
          <xdr:nvSpPr>
            <xdr:cNvPr id="1591" name="Check Box 567" hidden="1">
              <a:extLst>
                <a:ext uri="{63B3BB69-23CF-44E3-9099-C40C66FF867C}">
                  <a14:compatExt spid="_x0000_s1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Fuera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38100</xdr:rowOff>
        </xdr:from>
        <xdr:to>
          <xdr:col>1</xdr:col>
          <xdr:colOff>514350</xdr:colOff>
          <xdr:row>723</xdr:row>
          <xdr:rowOff>76200</xdr:rowOff>
        </xdr:to>
        <xdr:sp macro="" textlink="">
          <xdr:nvSpPr>
            <xdr:cNvPr id="1592" name="Check Box 568" hidden="1">
              <a:extLst>
                <a:ext uri="{63B3BB69-23CF-44E3-9099-C40C66FF867C}">
                  <a14:compatExt spid="_x0000_s1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721</xdr:row>
          <xdr:rowOff>142875</xdr:rowOff>
        </xdr:from>
        <xdr:to>
          <xdr:col>3</xdr:col>
          <xdr:colOff>47625</xdr:colOff>
          <xdr:row>722</xdr:row>
          <xdr:rowOff>161925</xdr:rowOff>
        </xdr:to>
        <xdr:sp macro="" textlink="">
          <xdr:nvSpPr>
            <xdr:cNvPr id="1593" name="Check Box 569" hidden="1">
              <a:extLst>
                <a:ext uri="{63B3BB69-23CF-44E3-9099-C40C66FF867C}">
                  <a14:compatExt spid="_x0000_s1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721</xdr:row>
          <xdr:rowOff>9525</xdr:rowOff>
        </xdr:from>
        <xdr:to>
          <xdr:col>6</xdr:col>
          <xdr:colOff>114300</xdr:colOff>
          <xdr:row>723</xdr:row>
          <xdr:rowOff>85725</xdr:rowOff>
        </xdr:to>
        <xdr:sp macro="" textlink="">
          <xdr:nvSpPr>
            <xdr:cNvPr id="1594" name="Check Box 570" hidden="1">
              <a:extLst>
                <a:ext uri="{63B3BB69-23CF-44E3-9099-C40C66FF867C}">
                  <a14:compatExt spid="_x0000_s1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38100</xdr:rowOff>
        </xdr:from>
        <xdr:to>
          <xdr:col>1</xdr:col>
          <xdr:colOff>514350</xdr:colOff>
          <xdr:row>727</xdr:row>
          <xdr:rowOff>76200</xdr:rowOff>
        </xdr:to>
        <xdr:sp macro="" textlink="">
          <xdr:nvSpPr>
            <xdr:cNvPr id="1595" name="Check Box 571" hidden="1">
              <a:extLst>
                <a:ext uri="{63B3BB69-23CF-44E3-9099-C40C66FF867C}">
                  <a14:compatExt spid="_x0000_s1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725</xdr:row>
          <xdr:rowOff>142875</xdr:rowOff>
        </xdr:from>
        <xdr:to>
          <xdr:col>3</xdr:col>
          <xdr:colOff>47625</xdr:colOff>
          <xdr:row>726</xdr:row>
          <xdr:rowOff>161925</xdr:rowOff>
        </xdr:to>
        <xdr:sp macro="" textlink="">
          <xdr:nvSpPr>
            <xdr:cNvPr id="1596" name="Check Box 572" hidden="1">
              <a:extLst>
                <a:ext uri="{63B3BB69-23CF-44E3-9099-C40C66FF867C}">
                  <a14:compatExt spid="_x0000_s1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725</xdr:row>
          <xdr:rowOff>9525</xdr:rowOff>
        </xdr:from>
        <xdr:to>
          <xdr:col>6</xdr:col>
          <xdr:colOff>114300</xdr:colOff>
          <xdr:row>727</xdr:row>
          <xdr:rowOff>85725</xdr:rowOff>
        </xdr:to>
        <xdr:sp macro="" textlink="">
          <xdr:nvSpPr>
            <xdr:cNvPr id="1597" name="Check Box 573" hidden="1">
              <a:extLst>
                <a:ext uri="{63B3BB69-23CF-44E3-9099-C40C66FF867C}">
                  <a14:compatExt spid="_x0000_s1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38100</xdr:rowOff>
        </xdr:from>
        <xdr:to>
          <xdr:col>1</xdr:col>
          <xdr:colOff>514350</xdr:colOff>
          <xdr:row>731</xdr:row>
          <xdr:rowOff>76200</xdr:rowOff>
        </xdr:to>
        <xdr:sp macro="" textlink="">
          <xdr:nvSpPr>
            <xdr:cNvPr id="1607" name="Check Box 583" hidden="1">
              <a:extLst>
                <a:ext uri="{63B3BB69-23CF-44E3-9099-C40C66FF867C}">
                  <a14:compatExt spid="_x0000_s1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Animado en reuniones de critica y protesta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729</xdr:row>
          <xdr:rowOff>142875</xdr:rowOff>
        </xdr:from>
        <xdr:to>
          <xdr:col>3</xdr:col>
          <xdr:colOff>47625</xdr:colOff>
          <xdr:row>730</xdr:row>
          <xdr:rowOff>161925</xdr:rowOff>
        </xdr:to>
        <xdr:sp macro="" textlink="">
          <xdr:nvSpPr>
            <xdr:cNvPr id="1608" name="Check Box 584" hidden="1">
              <a:extLst>
                <a:ext uri="{63B3BB69-23CF-44E3-9099-C40C66FF867C}">
                  <a14:compatExt spid="_x0000_s1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729</xdr:row>
          <xdr:rowOff>9525</xdr:rowOff>
        </xdr:from>
        <xdr:to>
          <xdr:col>6</xdr:col>
          <xdr:colOff>114300</xdr:colOff>
          <xdr:row>731</xdr:row>
          <xdr:rowOff>85725</xdr:rowOff>
        </xdr:to>
        <xdr:sp macro="" textlink="">
          <xdr:nvSpPr>
            <xdr:cNvPr id="1609" name="Check Box 585" hidden="1">
              <a:extLst>
                <a:ext uri="{63B3BB69-23CF-44E3-9099-C40C66FF867C}">
                  <a14:compatExt spid="_x0000_s1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tolerante a los deseos de otras personas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38100</xdr:rowOff>
        </xdr:from>
        <xdr:to>
          <xdr:col>1</xdr:col>
          <xdr:colOff>514350</xdr:colOff>
          <xdr:row>735</xdr:row>
          <xdr:rowOff>76200</xdr:rowOff>
        </xdr:to>
        <xdr:sp macro="" textlink="">
          <xdr:nvSpPr>
            <xdr:cNvPr id="1610" name="Check Box 586" hidden="1">
              <a:extLst>
                <a:ext uri="{63B3BB69-23CF-44E3-9099-C40C66FF867C}">
                  <a14:compatExt spid="_x0000_s1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733</xdr:row>
          <xdr:rowOff>142875</xdr:rowOff>
        </xdr:from>
        <xdr:to>
          <xdr:col>3</xdr:col>
          <xdr:colOff>47625</xdr:colOff>
          <xdr:row>734</xdr:row>
          <xdr:rowOff>161925</xdr:rowOff>
        </xdr:to>
        <xdr:sp macro="" textlink="">
          <xdr:nvSpPr>
            <xdr:cNvPr id="1611" name="Check Box 587" hidden="1">
              <a:extLst>
                <a:ext uri="{63B3BB69-23CF-44E3-9099-C40C66FF867C}">
                  <a14:compatExt spid="_x0000_s1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733</xdr:row>
          <xdr:rowOff>9525</xdr:rowOff>
        </xdr:from>
        <xdr:to>
          <xdr:col>5</xdr:col>
          <xdr:colOff>571500</xdr:colOff>
          <xdr:row>735</xdr:row>
          <xdr:rowOff>171450</xdr:rowOff>
        </xdr:to>
        <xdr:sp macro="" textlink="">
          <xdr:nvSpPr>
            <xdr:cNvPr id="1612" name="Check Box 588" hidden="1">
              <a:extLst>
                <a:ext uri="{63B3BB69-23CF-44E3-9099-C40C66FF867C}">
                  <a14:compatExt spid="_x0000_s1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38100</xdr:rowOff>
        </xdr:from>
        <xdr:to>
          <xdr:col>1</xdr:col>
          <xdr:colOff>514350</xdr:colOff>
          <xdr:row>739</xdr:row>
          <xdr:rowOff>76200</xdr:rowOff>
        </xdr:to>
        <xdr:sp macro="" textlink="">
          <xdr:nvSpPr>
            <xdr:cNvPr id="1613" name="Check Box 589" hidden="1">
              <a:extLst>
                <a:ext uri="{63B3BB69-23CF-44E3-9099-C40C66FF867C}">
                  <a14:compatExt spid="_x0000_s1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737</xdr:row>
          <xdr:rowOff>142875</xdr:rowOff>
        </xdr:from>
        <xdr:to>
          <xdr:col>3</xdr:col>
          <xdr:colOff>47625</xdr:colOff>
          <xdr:row>738</xdr:row>
          <xdr:rowOff>161925</xdr:rowOff>
        </xdr:to>
        <xdr:sp macro="" textlink="">
          <xdr:nvSpPr>
            <xdr:cNvPr id="1614" name="Check Box 590" hidden="1">
              <a:extLst>
                <a:ext uri="{63B3BB69-23CF-44E3-9099-C40C66FF867C}">
                  <a14:compatExt spid="_x0000_s1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737</xdr:row>
          <xdr:rowOff>9525</xdr:rowOff>
        </xdr:from>
        <xdr:to>
          <xdr:col>6</xdr:col>
          <xdr:colOff>114300</xdr:colOff>
          <xdr:row>739</xdr:row>
          <xdr:rowOff>85725</xdr:rowOff>
        </xdr:to>
        <xdr:sp macro="" textlink="">
          <xdr:nvSpPr>
            <xdr:cNvPr id="1615" name="Check Box 591" hidden="1">
              <a:extLst>
                <a:ext uri="{63B3BB69-23CF-44E3-9099-C40C66FF867C}">
                  <a14:compatExt spid="_x0000_s1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38100</xdr:rowOff>
        </xdr:from>
        <xdr:to>
          <xdr:col>1</xdr:col>
          <xdr:colOff>514350</xdr:colOff>
          <xdr:row>743</xdr:row>
          <xdr:rowOff>76200</xdr:rowOff>
        </xdr:to>
        <xdr:sp macro="" textlink="">
          <xdr:nvSpPr>
            <xdr:cNvPr id="1616" name="Check Box 592" hidden="1">
              <a:extLst>
                <a:ext uri="{63B3BB69-23CF-44E3-9099-C40C66FF867C}">
                  <a14:compatExt spid="_x0000_s1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Cierto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741</xdr:row>
          <xdr:rowOff>142875</xdr:rowOff>
        </xdr:from>
        <xdr:to>
          <xdr:col>3</xdr:col>
          <xdr:colOff>47625</xdr:colOff>
          <xdr:row>742</xdr:row>
          <xdr:rowOff>161925</xdr:rowOff>
        </xdr:to>
        <xdr:sp macro="" textlink="">
          <xdr:nvSpPr>
            <xdr:cNvPr id="1617" name="Check Box 593" hidden="1">
              <a:extLst>
                <a:ext uri="{63B3BB69-23CF-44E3-9099-C40C66FF867C}">
                  <a14:compatExt spid="_x0000_s1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741</xdr:row>
          <xdr:rowOff>9525</xdr:rowOff>
        </xdr:from>
        <xdr:to>
          <xdr:col>6</xdr:col>
          <xdr:colOff>114300</xdr:colOff>
          <xdr:row>743</xdr:row>
          <xdr:rowOff>85725</xdr:rowOff>
        </xdr:to>
        <xdr:sp macro="" textlink="">
          <xdr:nvSpPr>
            <xdr:cNvPr id="1618" name="Check Box 594" hidden="1">
              <a:extLst>
                <a:ext uri="{63B3BB69-23CF-44E3-9099-C40C66FF867C}">
                  <a14:compatExt spid="_x0000_s1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38100</xdr:rowOff>
        </xdr:from>
        <xdr:to>
          <xdr:col>1</xdr:col>
          <xdr:colOff>514350</xdr:colOff>
          <xdr:row>747</xdr:row>
          <xdr:rowOff>76200</xdr:rowOff>
        </xdr:to>
        <xdr:sp macro="" textlink="">
          <xdr:nvSpPr>
            <xdr:cNvPr id="1619" name="Check Box 595" hidden="1">
              <a:extLst>
                <a:ext uri="{63B3BB69-23CF-44E3-9099-C40C66FF867C}">
                  <a14:compatExt spid="_x0000_s1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745</xdr:row>
          <xdr:rowOff>142875</xdr:rowOff>
        </xdr:from>
        <xdr:to>
          <xdr:col>3</xdr:col>
          <xdr:colOff>47625</xdr:colOff>
          <xdr:row>746</xdr:row>
          <xdr:rowOff>161925</xdr:rowOff>
        </xdr:to>
        <xdr:sp macro="" textlink="">
          <xdr:nvSpPr>
            <xdr:cNvPr id="1620" name="Check Box 596" hidden="1">
              <a:extLst>
                <a:ext uri="{63B3BB69-23CF-44E3-9099-C40C66FF867C}">
                  <a14:compatExt spid="_x0000_s1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Termino medio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745</xdr:row>
          <xdr:rowOff>9525</xdr:rowOff>
        </xdr:from>
        <xdr:to>
          <xdr:col>6</xdr:col>
          <xdr:colOff>114300</xdr:colOff>
          <xdr:row>747</xdr:row>
          <xdr:rowOff>85725</xdr:rowOff>
        </xdr:to>
        <xdr:sp macro="" textlink="">
          <xdr:nvSpPr>
            <xdr:cNvPr id="1621" name="Check Box 597" hidden="1">
              <a:extLst>
                <a:ext uri="{63B3BB69-23CF-44E3-9099-C40C66FF867C}">
                  <a14:compatExt spid="_x0000_s1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38100</xdr:rowOff>
        </xdr:from>
        <xdr:to>
          <xdr:col>1</xdr:col>
          <xdr:colOff>514350</xdr:colOff>
          <xdr:row>751</xdr:row>
          <xdr:rowOff>76200</xdr:rowOff>
        </xdr:to>
        <xdr:sp macro="" textlink="">
          <xdr:nvSpPr>
            <xdr:cNvPr id="1622" name="Check Box 598" hidden="1">
              <a:extLst>
                <a:ext uri="{63B3BB69-23CF-44E3-9099-C40C66FF867C}">
                  <a14:compatExt spid="_x0000_s1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749</xdr:row>
          <xdr:rowOff>142875</xdr:rowOff>
        </xdr:from>
        <xdr:to>
          <xdr:col>3</xdr:col>
          <xdr:colOff>47625</xdr:colOff>
          <xdr:row>750</xdr:row>
          <xdr:rowOff>161925</xdr:rowOff>
        </xdr:to>
        <xdr:sp macro="" textlink="">
          <xdr:nvSpPr>
            <xdr:cNvPr id="1623" name="Check Box 599" hidden="1">
              <a:extLst>
                <a:ext uri="{63B3BB69-23CF-44E3-9099-C40C66FF867C}">
                  <a14:compatExt spid="_x0000_s16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Indeciso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749</xdr:row>
          <xdr:rowOff>9525</xdr:rowOff>
        </xdr:from>
        <xdr:to>
          <xdr:col>6</xdr:col>
          <xdr:colOff>114300</xdr:colOff>
          <xdr:row>751</xdr:row>
          <xdr:rowOff>85725</xdr:rowOff>
        </xdr:to>
        <xdr:sp macro="" textlink="">
          <xdr:nvSpPr>
            <xdr:cNvPr id="1624" name="Check Box 600" hidden="1">
              <a:extLst>
                <a:ext uri="{63B3BB69-23CF-44E3-9099-C40C66FF867C}">
                  <a14:compatExt spid="_x0000_s16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38100</xdr:rowOff>
        </xdr:from>
        <xdr:to>
          <xdr:col>1</xdr:col>
          <xdr:colOff>514350</xdr:colOff>
          <xdr:row>755</xdr:row>
          <xdr:rowOff>76200</xdr:rowOff>
        </xdr:to>
        <xdr:sp macro="" textlink="">
          <xdr:nvSpPr>
            <xdr:cNvPr id="1625" name="Check Box 601" hidden="1">
              <a:extLst>
                <a:ext uri="{63B3BB69-23CF-44E3-9099-C40C66FF867C}">
                  <a14:compatExt spid="_x0000_s1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753</xdr:row>
          <xdr:rowOff>142875</xdr:rowOff>
        </xdr:from>
        <xdr:to>
          <xdr:col>3</xdr:col>
          <xdr:colOff>47625</xdr:colOff>
          <xdr:row>754</xdr:row>
          <xdr:rowOff>161925</xdr:rowOff>
        </xdr:to>
        <xdr:sp macro="" textlink="">
          <xdr:nvSpPr>
            <xdr:cNvPr id="1626" name="Check Box 602" hidden="1">
              <a:extLst>
                <a:ext uri="{63B3BB69-23CF-44E3-9099-C40C66FF867C}">
                  <a14:compatExt spid="_x0000_s1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estoy seguro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753</xdr:row>
          <xdr:rowOff>9525</xdr:rowOff>
        </xdr:from>
        <xdr:to>
          <xdr:col>6</xdr:col>
          <xdr:colOff>114300</xdr:colOff>
          <xdr:row>755</xdr:row>
          <xdr:rowOff>85725</xdr:rowOff>
        </xdr:to>
        <xdr:sp macro="" textlink="">
          <xdr:nvSpPr>
            <xdr:cNvPr id="1627" name="Check Box 603" hidden="1">
              <a:extLst>
                <a:ext uri="{63B3BB69-23CF-44E3-9099-C40C66FF867C}">
                  <a14:compatExt spid="_x0000_s1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 fLocksWithSheet="0"/>
      </xdr:twoCellAnchor>
    </mc:Choice>
    <mc:Fallback/>
  </mc:AlternateContent>
  <xdr:twoCellAnchor>
    <xdr:from>
      <xdr:col>11</xdr:col>
      <xdr:colOff>171450</xdr:colOff>
      <xdr:row>5</xdr:row>
      <xdr:rowOff>104775</xdr:rowOff>
    </xdr:from>
    <xdr:to>
      <xdr:col>12</xdr:col>
      <xdr:colOff>457200</xdr:colOff>
      <xdr:row>7</xdr:row>
      <xdr:rowOff>85725</xdr:rowOff>
    </xdr:to>
    <xdr:sp macro="" textlink="">
      <xdr:nvSpPr>
        <xdr:cNvPr id="564" name="Redondear rectángulo de esquina diagonal 563">
          <a:hlinkClick xmlns:r="http://schemas.openxmlformats.org/officeDocument/2006/relationships" r:id="rId1"/>
        </xdr:cNvPr>
        <xdr:cNvSpPr/>
      </xdr:nvSpPr>
      <xdr:spPr>
        <a:xfrm>
          <a:off x="8810625" y="1104900"/>
          <a:ext cx="1047750" cy="381000"/>
        </a:xfrm>
        <a:prstGeom prst="round2Diag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VOLVER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485</xdr:row>
          <xdr:rowOff>133350</xdr:rowOff>
        </xdr:from>
        <xdr:to>
          <xdr:col>3</xdr:col>
          <xdr:colOff>38100</xdr:colOff>
          <xdr:row>486</xdr:row>
          <xdr:rowOff>152400</xdr:rowOff>
        </xdr:to>
        <xdr:sp macro="" textlink="">
          <xdr:nvSpPr>
            <xdr:cNvPr id="1628" name="Check Box 604" hidden="1">
              <a:extLst>
                <a:ext uri="{63B3BB69-23CF-44E3-9099-C40C66FF867C}">
                  <a14:compatExt spid="_x0000_s1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Intermedio</a:t>
              </a:r>
            </a:p>
          </xdr:txBody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531" Type="http://schemas.openxmlformats.org/officeDocument/2006/relationships/ctrlProp" Target="../ctrlProps/ctrlProp528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42" Type="http://schemas.openxmlformats.org/officeDocument/2006/relationships/ctrlProp" Target="../ctrlProps/ctrlProp539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44" Type="http://schemas.openxmlformats.org/officeDocument/2006/relationships/ctrlProp" Target="../ctrlProps/ctrlProp441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553" Type="http://schemas.openxmlformats.org/officeDocument/2006/relationships/ctrlProp" Target="../ctrlProps/ctrlProp550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497" Type="http://schemas.openxmlformats.org/officeDocument/2006/relationships/ctrlProp" Target="../ctrlProps/ctrlProp494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22" Type="http://schemas.openxmlformats.org/officeDocument/2006/relationships/ctrlProp" Target="../ctrlProps/ctrlProp519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564" Type="http://schemas.openxmlformats.org/officeDocument/2006/relationships/ctrlProp" Target="../ctrlProps/ctrlProp561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477" Type="http://schemas.openxmlformats.org/officeDocument/2006/relationships/ctrlProp" Target="../ctrlProps/ctrlProp474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502" Type="http://schemas.openxmlformats.org/officeDocument/2006/relationships/ctrlProp" Target="../ctrlProps/ctrlProp499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44" Type="http://schemas.openxmlformats.org/officeDocument/2006/relationships/ctrlProp" Target="../ctrlProps/ctrlProp541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46" Type="http://schemas.openxmlformats.org/officeDocument/2006/relationships/ctrlProp" Target="../ctrlProps/ctrlProp443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13" Type="http://schemas.openxmlformats.org/officeDocument/2006/relationships/ctrlProp" Target="../ctrlProps/ctrlProp510.xml"/><Relationship Id="rId555" Type="http://schemas.openxmlformats.org/officeDocument/2006/relationships/ctrlProp" Target="../ctrlProps/ctrlProp552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457" Type="http://schemas.openxmlformats.org/officeDocument/2006/relationships/ctrlProp" Target="../ctrlProps/ctrlProp454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524" Type="http://schemas.openxmlformats.org/officeDocument/2006/relationships/ctrlProp" Target="../ctrlProps/ctrlProp521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546" Type="http://schemas.openxmlformats.org/officeDocument/2006/relationships/ctrlProp" Target="../ctrlProps/ctrlProp543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371" Type="http://schemas.openxmlformats.org/officeDocument/2006/relationships/ctrlProp" Target="../ctrlProps/ctrlProp368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27" Type="http://schemas.openxmlformats.org/officeDocument/2006/relationships/ctrlProp" Target="../ctrlProps/ctrlProp424.xml"/><Relationship Id="rId448" Type="http://schemas.openxmlformats.org/officeDocument/2006/relationships/ctrlProp" Target="../ctrlProps/ctrlProp445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15" Type="http://schemas.openxmlformats.org/officeDocument/2006/relationships/ctrlProp" Target="../ctrlProps/ctrlProp512.xml"/><Relationship Id="rId536" Type="http://schemas.openxmlformats.org/officeDocument/2006/relationships/ctrlProp" Target="../ctrlProps/ctrlProp53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557" Type="http://schemas.openxmlformats.org/officeDocument/2006/relationships/ctrlProp" Target="../ctrlProps/ctrlProp554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17" Type="http://schemas.openxmlformats.org/officeDocument/2006/relationships/ctrlProp" Target="../ctrlProps/ctrlProp414.xml"/><Relationship Id="rId438" Type="http://schemas.openxmlformats.org/officeDocument/2006/relationships/ctrlProp" Target="../ctrlProps/ctrlProp435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526" Type="http://schemas.openxmlformats.org/officeDocument/2006/relationships/ctrlProp" Target="../ctrlProps/ctrlProp52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547" Type="http://schemas.openxmlformats.org/officeDocument/2006/relationships/ctrlProp" Target="../ctrlProps/ctrlProp544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28" Type="http://schemas.openxmlformats.org/officeDocument/2006/relationships/ctrlProp" Target="../ctrlProps/ctrlProp425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481" Type="http://schemas.openxmlformats.org/officeDocument/2006/relationships/ctrlProp" Target="../ctrlProps/ctrlProp478.xml"/><Relationship Id="rId516" Type="http://schemas.openxmlformats.org/officeDocument/2006/relationships/ctrlProp" Target="../ctrlProps/ctrlProp513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537" Type="http://schemas.openxmlformats.org/officeDocument/2006/relationships/ctrlProp" Target="../ctrlProps/ctrlProp534.xml"/><Relationship Id="rId558" Type="http://schemas.openxmlformats.org/officeDocument/2006/relationships/ctrlProp" Target="../ctrlProps/ctrlProp555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418" Type="http://schemas.openxmlformats.org/officeDocument/2006/relationships/ctrlProp" Target="../ctrlProps/ctrlProp415.xml"/><Relationship Id="rId439" Type="http://schemas.openxmlformats.org/officeDocument/2006/relationships/ctrlProp" Target="../ctrlProps/ctrlProp436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471" Type="http://schemas.openxmlformats.org/officeDocument/2006/relationships/ctrlProp" Target="../ctrlProps/ctrlProp468.xml"/><Relationship Id="rId506" Type="http://schemas.openxmlformats.org/officeDocument/2006/relationships/ctrlProp" Target="../ctrlProps/ctrlProp503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527" Type="http://schemas.openxmlformats.org/officeDocument/2006/relationships/ctrlProp" Target="../ctrlProps/ctrlProp524.xml"/><Relationship Id="rId548" Type="http://schemas.openxmlformats.org/officeDocument/2006/relationships/ctrlProp" Target="../ctrlProps/ctrlProp545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461" Type="http://schemas.openxmlformats.org/officeDocument/2006/relationships/ctrlProp" Target="../ctrlProps/ctrlProp458.xml"/><Relationship Id="rId482" Type="http://schemas.openxmlformats.org/officeDocument/2006/relationships/ctrlProp" Target="../ctrlProps/ctrlProp479.xml"/><Relationship Id="rId517" Type="http://schemas.openxmlformats.org/officeDocument/2006/relationships/ctrlProp" Target="../ctrlProps/ctrlProp514.xml"/><Relationship Id="rId538" Type="http://schemas.openxmlformats.org/officeDocument/2006/relationships/ctrlProp" Target="../ctrlProps/ctrlProp535.xml"/><Relationship Id="rId559" Type="http://schemas.openxmlformats.org/officeDocument/2006/relationships/ctrlProp" Target="../ctrlProps/ctrlProp556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72" Type="http://schemas.openxmlformats.org/officeDocument/2006/relationships/ctrlProp" Target="../ctrlProps/ctrlProp469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28" Type="http://schemas.openxmlformats.org/officeDocument/2006/relationships/ctrlProp" Target="../ctrlProps/ctrlProp525.xml"/><Relationship Id="rId549" Type="http://schemas.openxmlformats.org/officeDocument/2006/relationships/ctrlProp" Target="../ctrlProps/ctrlProp54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41" Type="http://schemas.openxmlformats.org/officeDocument/2006/relationships/ctrlProp" Target="../ctrlProps/ctrlProp438.xml"/><Relationship Id="rId462" Type="http://schemas.openxmlformats.org/officeDocument/2006/relationships/ctrlProp" Target="../ctrlProps/ctrlProp459.xml"/><Relationship Id="rId483" Type="http://schemas.openxmlformats.org/officeDocument/2006/relationships/ctrlProp" Target="../ctrlProps/ctrlProp480.xml"/><Relationship Id="rId518" Type="http://schemas.openxmlformats.org/officeDocument/2006/relationships/ctrlProp" Target="../ctrlProps/ctrlProp515.xml"/><Relationship Id="rId539" Type="http://schemas.openxmlformats.org/officeDocument/2006/relationships/ctrlProp" Target="../ctrlProps/ctrlProp53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550" Type="http://schemas.openxmlformats.org/officeDocument/2006/relationships/ctrlProp" Target="../ctrlProps/ctrlProp547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452" Type="http://schemas.openxmlformats.org/officeDocument/2006/relationships/ctrlProp" Target="../ctrlProps/ctrlProp449.xml"/><Relationship Id="rId473" Type="http://schemas.openxmlformats.org/officeDocument/2006/relationships/ctrlProp" Target="../ctrlProps/ctrlProp470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529" Type="http://schemas.openxmlformats.org/officeDocument/2006/relationships/ctrlProp" Target="../ctrlProps/ctrlProp526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40" Type="http://schemas.openxmlformats.org/officeDocument/2006/relationships/ctrlProp" Target="../ctrlProps/ctrlProp537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561" Type="http://schemas.openxmlformats.org/officeDocument/2006/relationships/ctrlProp" Target="../ctrlProps/ctrlProp558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442" Type="http://schemas.openxmlformats.org/officeDocument/2006/relationships/ctrlProp" Target="../ctrlProps/ctrlProp439.xml"/><Relationship Id="rId463" Type="http://schemas.openxmlformats.org/officeDocument/2006/relationships/ctrlProp" Target="../ctrlProps/ctrlProp460.xml"/><Relationship Id="rId484" Type="http://schemas.openxmlformats.org/officeDocument/2006/relationships/ctrlProp" Target="../ctrlProps/ctrlProp481.xml"/><Relationship Id="rId519" Type="http://schemas.openxmlformats.org/officeDocument/2006/relationships/ctrlProp" Target="../ctrlProps/ctrlProp516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530" Type="http://schemas.openxmlformats.org/officeDocument/2006/relationships/ctrlProp" Target="../ctrlProps/ctrlProp527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453" Type="http://schemas.openxmlformats.org/officeDocument/2006/relationships/ctrlProp" Target="../ctrlProps/ctrlProp450.xml"/><Relationship Id="rId474" Type="http://schemas.openxmlformats.org/officeDocument/2006/relationships/ctrlProp" Target="../ctrlProps/ctrlProp471.xml"/><Relationship Id="rId509" Type="http://schemas.openxmlformats.org/officeDocument/2006/relationships/ctrlProp" Target="../ctrlProps/ctrlProp506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41" Type="http://schemas.openxmlformats.org/officeDocument/2006/relationships/ctrlProp" Target="../ctrlProps/ctrlProp538.xml"/><Relationship Id="rId562" Type="http://schemas.openxmlformats.org/officeDocument/2006/relationships/ctrlProp" Target="../ctrlProps/ctrlProp559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443" Type="http://schemas.openxmlformats.org/officeDocument/2006/relationships/ctrlProp" Target="../ctrlProps/ctrlProp440.xml"/><Relationship Id="rId464" Type="http://schemas.openxmlformats.org/officeDocument/2006/relationships/ctrlProp" Target="../ctrlProps/ctrlProp461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52" Type="http://schemas.openxmlformats.org/officeDocument/2006/relationships/ctrlProp" Target="../ctrlProps/ctrlProp549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563" Type="http://schemas.openxmlformats.org/officeDocument/2006/relationships/ctrlProp" Target="../ctrlProps/ctrlProp560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532" Type="http://schemas.openxmlformats.org/officeDocument/2006/relationships/ctrlProp" Target="../ctrlProps/ctrlProp529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543" Type="http://schemas.openxmlformats.org/officeDocument/2006/relationships/ctrlProp" Target="../ctrlProps/ctrlProp540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54" Type="http://schemas.openxmlformats.org/officeDocument/2006/relationships/ctrlProp" Target="../ctrlProps/ctrlProp551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534" Type="http://schemas.openxmlformats.org/officeDocument/2006/relationships/ctrlProp" Target="../ctrlProps/ctrlProp531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545" Type="http://schemas.openxmlformats.org/officeDocument/2006/relationships/ctrlProp" Target="../ctrlProps/ctrlProp542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556" Type="http://schemas.openxmlformats.org/officeDocument/2006/relationships/ctrlProp" Target="../ctrlProps/ctrlProp553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6"/>
  <sheetViews>
    <sheetView showGridLines="0" tabSelected="1" topLeftCell="A19" workbookViewId="0">
      <selection activeCell="K21" sqref="K21"/>
    </sheetView>
  </sheetViews>
  <sheetFormatPr baseColWidth="10" defaultColWidth="11.42578125" defaultRowHeight="15" x14ac:dyDescent="0.25"/>
  <sheetData>
    <row r="1" spans="1:13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1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1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15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ht="15" customHeight="1" x14ac:dyDescent="0.25">
      <c r="A6" s="51" t="s">
        <v>73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13" ht="15" customHeight="1" x14ac:dyDescent="0.25">
      <c r="A7" s="51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</row>
    <row r="8" spans="1:13" ht="15" customHeight="1" x14ac:dyDescent="0.25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</row>
    <row r="9" spans="1:13" ht="15" customHeight="1" x14ac:dyDescent="0.25">
      <c r="A9" s="51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</row>
    <row r="10" spans="1:13" ht="15" customHeight="1" x14ac:dyDescent="0.25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</row>
    <row r="11" spans="1:13" ht="15" customHeight="1" x14ac:dyDescent="0.25">
      <c r="A11" s="51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</row>
    <row r="12" spans="1:13" ht="15" customHeight="1" x14ac:dyDescent="0.25">
      <c r="A12" s="51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</row>
    <row r="13" spans="1:13" ht="15" customHeight="1" x14ac:dyDescent="0.25">
      <c r="A13" s="50" t="s">
        <v>74</v>
      </c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</row>
    <row r="14" spans="1:13" ht="15" customHeight="1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</row>
    <row r="15" spans="1:13" ht="15" customHeight="1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</row>
    <row r="16" spans="1:13" ht="15" customHeight="1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</row>
  </sheetData>
  <sheetProtection algorithmName="SHA-512" hashValue="ZAGzikOj3o8fqHfGa2l58GqM3oL5nvsoxpH5kpC83vQlct8CJvYXYQbnb8BOscelewBJWYOdyHVRhPwNEik3eA==" saltValue="ixwntkPpCIXj6Qlu4+OTQA==" spinCount="100000" sheet="1" objects="1" scenarios="1" selectLockedCells="1" selectUnlockedCells="1"/>
  <mergeCells count="2">
    <mergeCell ref="A13:M16"/>
    <mergeCell ref="A6:M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8"/>
  <sheetViews>
    <sheetView showGridLines="0" zoomScale="73" zoomScaleNormal="73" workbookViewId="0">
      <selection activeCell="S20" sqref="S20"/>
    </sheetView>
  </sheetViews>
  <sheetFormatPr baseColWidth="10" defaultColWidth="11.42578125" defaultRowHeight="15" x14ac:dyDescent="0.25"/>
  <sheetData>
    <row r="1" spans="1:3" ht="20.25" x14ac:dyDescent="0.25">
      <c r="A1" s="2"/>
      <c r="B1" s="6"/>
      <c r="C1" s="6"/>
    </row>
    <row r="2" spans="1:3" ht="20.25" x14ac:dyDescent="0.25">
      <c r="A2" s="2"/>
      <c r="B2" s="6"/>
      <c r="C2" s="6"/>
    </row>
    <row r="3" spans="1:3" ht="15.75" x14ac:dyDescent="0.25">
      <c r="A3" s="3"/>
      <c r="B3" s="6"/>
      <c r="C3" s="6"/>
    </row>
    <row r="4" spans="1:3" ht="15.75" x14ac:dyDescent="0.25">
      <c r="A4" s="4"/>
      <c r="B4" s="6"/>
      <c r="C4" s="6"/>
    </row>
    <row r="5" spans="1:3" ht="15.75" x14ac:dyDescent="0.25">
      <c r="A5" s="3"/>
      <c r="B5" s="6"/>
      <c r="C5" s="6"/>
    </row>
    <row r="6" spans="1:3" ht="15.75" x14ac:dyDescent="0.25">
      <c r="A6" s="4"/>
      <c r="B6" s="6"/>
      <c r="C6" s="6"/>
    </row>
    <row r="7" spans="1:3" ht="15.75" x14ac:dyDescent="0.25">
      <c r="A7" s="3"/>
      <c r="B7" s="6"/>
      <c r="C7" s="6"/>
    </row>
    <row r="8" spans="1:3" ht="15.75" x14ac:dyDescent="0.25">
      <c r="A8" s="5"/>
      <c r="B8" s="6"/>
      <c r="C8" s="6"/>
    </row>
    <row r="9" spans="1:3" ht="15.75" x14ac:dyDescent="0.25">
      <c r="A9" s="5"/>
      <c r="B9" s="6"/>
      <c r="C9" s="6"/>
    </row>
    <row r="10" spans="1:3" ht="15.75" x14ac:dyDescent="0.25">
      <c r="A10" s="3"/>
      <c r="B10" s="6"/>
      <c r="C10" s="6"/>
    </row>
    <row r="11" spans="1:3" ht="15.75" x14ac:dyDescent="0.25">
      <c r="A11" s="3"/>
      <c r="B11" s="3"/>
      <c r="C11" s="3"/>
    </row>
    <row r="12" spans="1:3" ht="15.75" x14ac:dyDescent="0.25">
      <c r="A12" s="4"/>
      <c r="B12" s="6"/>
      <c r="C12" s="6"/>
    </row>
    <row r="13" spans="1:3" ht="15.75" x14ac:dyDescent="0.25">
      <c r="A13" s="3"/>
      <c r="B13" s="6"/>
      <c r="C13" s="6"/>
    </row>
    <row r="14" spans="1:3" ht="15.75" x14ac:dyDescent="0.25">
      <c r="A14" s="3"/>
      <c r="B14" s="3"/>
      <c r="C14" s="3"/>
    </row>
    <row r="15" spans="1:3" ht="15.75" x14ac:dyDescent="0.25">
      <c r="A15" s="4"/>
      <c r="B15" s="6"/>
      <c r="C15" s="6"/>
    </row>
    <row r="16" spans="1:3" ht="15.75" x14ac:dyDescent="0.25">
      <c r="A16" s="3"/>
      <c r="B16" s="6"/>
      <c r="C16" s="6"/>
    </row>
    <row r="17" spans="1:3" ht="15.75" x14ac:dyDescent="0.25">
      <c r="A17" s="3"/>
      <c r="B17" s="3"/>
      <c r="C17" s="3"/>
    </row>
    <row r="18" spans="1:3" ht="15.75" x14ac:dyDescent="0.25">
      <c r="A18" s="4"/>
      <c r="B18" s="6"/>
      <c r="C18" s="6"/>
    </row>
    <row r="19" spans="1:3" ht="15.75" x14ac:dyDescent="0.25">
      <c r="A19" s="3"/>
      <c r="B19" s="6"/>
      <c r="C19" s="6"/>
    </row>
    <row r="20" spans="1:3" ht="15.75" x14ac:dyDescent="0.25">
      <c r="A20" s="4"/>
      <c r="B20" s="6"/>
      <c r="C20" s="6"/>
    </row>
    <row r="21" spans="1:3" ht="15.75" x14ac:dyDescent="0.25">
      <c r="A21" s="3"/>
      <c r="B21" s="6"/>
      <c r="C21" s="6"/>
    </row>
    <row r="22" spans="1:3" ht="15.75" x14ac:dyDescent="0.25">
      <c r="A22" s="4"/>
      <c r="B22" s="6"/>
      <c r="C22" s="6"/>
    </row>
    <row r="23" spans="1:3" ht="15.75" x14ac:dyDescent="0.25">
      <c r="A23" s="3"/>
      <c r="B23" s="6"/>
      <c r="C23" s="6"/>
    </row>
    <row r="24" spans="1:3" ht="15.75" x14ac:dyDescent="0.25">
      <c r="A24" s="4"/>
      <c r="B24" s="6"/>
      <c r="C24" s="6"/>
    </row>
    <row r="25" spans="1:3" ht="15.75" x14ac:dyDescent="0.25">
      <c r="A25" s="3"/>
      <c r="B25" s="6"/>
      <c r="C25" s="6"/>
    </row>
    <row r="26" spans="1:3" ht="15.75" x14ac:dyDescent="0.25">
      <c r="A26" s="3"/>
      <c r="B26" s="6"/>
      <c r="C26" s="6"/>
    </row>
    <row r="27" spans="1:3" ht="15.75" x14ac:dyDescent="0.25">
      <c r="A27" s="4"/>
      <c r="B27" s="6"/>
      <c r="C27" s="6"/>
    </row>
    <row r="28" spans="1:3" ht="15.75" x14ac:dyDescent="0.25">
      <c r="A28" s="3"/>
      <c r="B28" s="6"/>
      <c r="C28" s="6"/>
    </row>
  </sheetData>
  <sheetProtection algorithmName="SHA-512" hashValue="i9lgw6jPja/zZj8lPT3avyh953Kjgp3+2pVYRRpFhl1LeFNtQnKG7V9SOqBcl9FkX9g2aNF4NuUEzLszSiA92Q==" saltValue="OvW+pwALH84ajH7+JwAHYw==" spinCount="100000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2:J762"/>
  <sheetViews>
    <sheetView showGridLines="0" zoomScaleNormal="100" workbookViewId="0">
      <pane ySplit="8" topLeftCell="A9" activePane="bottomLeft" state="frozen"/>
      <selection pane="bottomLeft"/>
    </sheetView>
  </sheetViews>
  <sheetFormatPr baseColWidth="10" defaultColWidth="11.42578125" defaultRowHeight="15.75" x14ac:dyDescent="0.25"/>
  <cols>
    <col min="1" max="1" width="12.5703125" style="7" customWidth="1"/>
    <col min="2" max="4" width="11.42578125" style="7"/>
    <col min="5" max="5" width="11.85546875" style="7" bestFit="1" customWidth="1"/>
    <col min="6" max="6" width="12.140625" style="9" customWidth="1"/>
    <col min="7" max="7" width="13" style="47" bestFit="1" customWidth="1"/>
    <col min="8" max="9" width="11.42578125" style="47"/>
    <col min="10" max="16384" width="11.42578125" style="7"/>
  </cols>
  <sheetData>
    <row r="2" spans="1:9" x14ac:dyDescent="0.25">
      <c r="A2" s="52" t="s">
        <v>74</v>
      </c>
      <c r="B2" s="52"/>
      <c r="C2" s="52"/>
      <c r="D2" s="52"/>
      <c r="E2" s="52"/>
      <c r="F2" s="52"/>
      <c r="G2" s="52"/>
      <c r="H2" s="52"/>
    </row>
    <row r="3" spans="1:9" x14ac:dyDescent="0.25">
      <c r="A3" s="52"/>
      <c r="B3" s="52"/>
      <c r="C3" s="52"/>
      <c r="D3" s="52"/>
      <c r="E3" s="52"/>
      <c r="F3" s="52"/>
      <c r="G3" s="52"/>
      <c r="H3" s="52"/>
    </row>
    <row r="5" spans="1:9" x14ac:dyDescent="0.25">
      <c r="A5" s="54" t="s">
        <v>261</v>
      </c>
      <c r="B5" s="54"/>
      <c r="C5" s="55"/>
      <c r="D5" s="55"/>
      <c r="E5" s="55"/>
      <c r="F5" s="53"/>
      <c r="G5" s="53"/>
    </row>
    <row r="7" spans="1:9" x14ac:dyDescent="0.25">
      <c r="A7" s="13" t="s">
        <v>75</v>
      </c>
      <c r="B7" s="8"/>
    </row>
    <row r="9" spans="1:9" x14ac:dyDescent="0.25">
      <c r="A9" s="7" t="s">
        <v>76</v>
      </c>
      <c r="G9" s="48"/>
      <c r="I9" s="48"/>
    </row>
    <row r="10" spans="1:9" x14ac:dyDescent="0.25">
      <c r="G10" s="48"/>
      <c r="I10" s="48"/>
    </row>
    <row r="11" spans="1:9" x14ac:dyDescent="0.25">
      <c r="G11" s="48"/>
      <c r="I11" s="48"/>
    </row>
    <row r="12" spans="1:9" x14ac:dyDescent="0.25">
      <c r="G12" s="48"/>
      <c r="I12" s="48"/>
    </row>
    <row r="13" spans="1:9" x14ac:dyDescent="0.25">
      <c r="A13" s="7" t="s">
        <v>77</v>
      </c>
      <c r="G13" s="48"/>
      <c r="I13" s="48"/>
    </row>
    <row r="14" spans="1:9" x14ac:dyDescent="0.25">
      <c r="G14" s="48" t="b">
        <v>0</v>
      </c>
      <c r="I14" s="48"/>
    </row>
    <row r="15" spans="1:9" x14ac:dyDescent="0.25">
      <c r="G15" s="48" t="b">
        <v>0</v>
      </c>
      <c r="I15" s="49">
        <f>IF($G$14=TRUE,0,IF($G$15=TRUE,1,IF($G$16=TRUE,2,0)))</f>
        <v>0</v>
      </c>
    </row>
    <row r="16" spans="1:9" x14ac:dyDescent="0.25">
      <c r="G16" s="48" t="b">
        <v>0</v>
      </c>
      <c r="I16" s="48"/>
    </row>
    <row r="17" spans="1:9" x14ac:dyDescent="0.25">
      <c r="A17" s="7" t="s">
        <v>78</v>
      </c>
      <c r="G17" s="48"/>
      <c r="I17" s="48"/>
    </row>
    <row r="18" spans="1:9" x14ac:dyDescent="0.25">
      <c r="G18" s="48" t="b">
        <v>0</v>
      </c>
      <c r="I18" s="48"/>
    </row>
    <row r="19" spans="1:9" x14ac:dyDescent="0.25">
      <c r="G19" s="48" t="b">
        <v>0</v>
      </c>
      <c r="I19" s="49">
        <f>IF($G$18=TRUE,2,IF($G$19=TRUE,1,IF($G$20=TRUE,0,0)))</f>
        <v>0</v>
      </c>
    </row>
    <row r="20" spans="1:9" x14ac:dyDescent="0.25">
      <c r="G20" s="48" t="b">
        <v>0</v>
      </c>
      <c r="I20" s="48"/>
    </row>
    <row r="21" spans="1:9" x14ac:dyDescent="0.25">
      <c r="A21" s="7" t="s">
        <v>79</v>
      </c>
      <c r="G21" s="48"/>
      <c r="I21" s="48"/>
    </row>
    <row r="22" spans="1:9" x14ac:dyDescent="0.25">
      <c r="G22" s="48" t="b">
        <v>0</v>
      </c>
      <c r="I22" s="48"/>
    </row>
    <row r="23" spans="1:9" x14ac:dyDescent="0.25">
      <c r="G23" s="48" t="b">
        <v>0</v>
      </c>
      <c r="I23" s="49">
        <f>IF($G$22=TRUE,2,IF($G$23=TRUE,1,IF($G$24=TRUE,0,0)))</f>
        <v>0</v>
      </c>
    </row>
    <row r="24" spans="1:9" x14ac:dyDescent="0.25">
      <c r="G24" s="48" t="b">
        <v>0</v>
      </c>
      <c r="I24" s="48"/>
    </row>
    <row r="25" spans="1:9" x14ac:dyDescent="0.25">
      <c r="A25" s="7" t="s">
        <v>80</v>
      </c>
      <c r="G25" s="48"/>
      <c r="I25" s="48"/>
    </row>
    <row r="26" spans="1:9" x14ac:dyDescent="0.25">
      <c r="G26" s="48" t="b">
        <v>0</v>
      </c>
      <c r="I26" s="48"/>
    </row>
    <row r="27" spans="1:9" x14ac:dyDescent="0.25">
      <c r="G27" s="48" t="b">
        <v>0</v>
      </c>
      <c r="I27" s="49">
        <f>IF(G26=TRUE,0,IF(G27=TRUE,1,IF(G28=TRUE,2,0)))</f>
        <v>0</v>
      </c>
    </row>
    <row r="28" spans="1:9" x14ac:dyDescent="0.25">
      <c r="G28" s="48" t="b">
        <v>0</v>
      </c>
      <c r="I28" s="48"/>
    </row>
    <row r="29" spans="1:9" x14ac:dyDescent="0.25">
      <c r="A29" s="7" t="s">
        <v>81</v>
      </c>
      <c r="G29" s="48"/>
      <c r="I29" s="48"/>
    </row>
    <row r="30" spans="1:9" x14ac:dyDescent="0.25">
      <c r="G30" s="48" t="b">
        <v>0</v>
      </c>
      <c r="I30" s="48"/>
    </row>
    <row r="31" spans="1:9" x14ac:dyDescent="0.25">
      <c r="G31" s="48" t="b">
        <v>0</v>
      </c>
      <c r="I31" s="49">
        <f>IF(G30=TRUE,0,IF(G31=TRUE,1,IF(G32=TRUE,2,0)))</f>
        <v>0</v>
      </c>
    </row>
    <row r="32" spans="1:9" x14ac:dyDescent="0.25">
      <c r="G32" s="48" t="b">
        <v>0</v>
      </c>
      <c r="I32" s="48"/>
    </row>
    <row r="33" spans="1:9" x14ac:dyDescent="0.25">
      <c r="A33" s="7" t="s">
        <v>82</v>
      </c>
      <c r="G33" s="48"/>
      <c r="I33" s="48"/>
    </row>
    <row r="34" spans="1:9" x14ac:dyDescent="0.25">
      <c r="G34" s="48" t="b">
        <v>0</v>
      </c>
      <c r="I34" s="48"/>
    </row>
    <row r="35" spans="1:9" x14ac:dyDescent="0.25">
      <c r="G35" s="48" t="b">
        <v>0</v>
      </c>
      <c r="I35" s="49">
        <f>IF(G34=TRUE,2,IF(G35=TRUE,1,IF(G36=TRUE,0,0)))</f>
        <v>0</v>
      </c>
    </row>
    <row r="36" spans="1:9" x14ac:dyDescent="0.25">
      <c r="G36" s="48" t="b">
        <v>0</v>
      </c>
      <c r="I36" s="48"/>
    </row>
    <row r="37" spans="1:9" x14ac:dyDescent="0.25">
      <c r="A37" s="7" t="s">
        <v>83</v>
      </c>
      <c r="G37" s="48"/>
      <c r="I37" s="48"/>
    </row>
    <row r="38" spans="1:9" x14ac:dyDescent="0.25">
      <c r="G38" s="48" t="b">
        <v>0</v>
      </c>
      <c r="I38" s="48"/>
    </row>
    <row r="39" spans="1:9" x14ac:dyDescent="0.25">
      <c r="G39" s="48" t="b">
        <v>0</v>
      </c>
      <c r="I39" s="49">
        <f>IF(G38=TRUE,0,IF(G39=TRUE,1,IF(G40=TRUE,2,0)))</f>
        <v>0</v>
      </c>
    </row>
    <row r="40" spans="1:9" x14ac:dyDescent="0.25">
      <c r="G40" s="48" t="b">
        <v>0</v>
      </c>
      <c r="I40" s="48"/>
    </row>
    <row r="41" spans="1:9" x14ac:dyDescent="0.25">
      <c r="A41" s="7" t="s">
        <v>84</v>
      </c>
      <c r="G41" s="48"/>
      <c r="I41" s="48"/>
    </row>
    <row r="42" spans="1:9" x14ac:dyDescent="0.25">
      <c r="G42" s="48" t="b">
        <v>0</v>
      </c>
      <c r="I42" s="48"/>
    </row>
    <row r="43" spans="1:9" x14ac:dyDescent="0.25">
      <c r="G43" s="48" t="b">
        <v>0</v>
      </c>
      <c r="I43" s="49">
        <f>IF(G42=TRUE,0,IF(G43=TRUE,1,IF(G44=TRUE,2,0)))</f>
        <v>0</v>
      </c>
    </row>
    <row r="44" spans="1:9" x14ac:dyDescent="0.25">
      <c r="G44" s="48" t="b">
        <v>0</v>
      </c>
      <c r="I44" s="48"/>
    </row>
    <row r="45" spans="1:9" x14ac:dyDescent="0.25">
      <c r="A45" s="7" t="s">
        <v>85</v>
      </c>
      <c r="G45" s="48"/>
      <c r="I45" s="48"/>
    </row>
    <row r="46" spans="1:9" x14ac:dyDescent="0.25">
      <c r="G46" s="48" t="b">
        <v>0</v>
      </c>
      <c r="I46" s="48"/>
    </row>
    <row r="47" spans="1:9" x14ac:dyDescent="0.25">
      <c r="G47" s="48" t="b">
        <v>0</v>
      </c>
      <c r="I47" s="49">
        <f>IF(G46=TRUE,2,IF(G47=TRUE,1,IF(G48=TRUE,0,0)))</f>
        <v>0</v>
      </c>
    </row>
    <row r="48" spans="1:9" x14ac:dyDescent="0.25">
      <c r="G48" s="48" t="b">
        <v>0</v>
      </c>
      <c r="I48" s="48"/>
    </row>
    <row r="49" spans="1:9" x14ac:dyDescent="0.25">
      <c r="A49" s="7" t="s">
        <v>86</v>
      </c>
      <c r="G49" s="48"/>
      <c r="I49" s="48"/>
    </row>
    <row r="50" spans="1:9" x14ac:dyDescent="0.25">
      <c r="G50" s="48" t="b">
        <v>0</v>
      </c>
      <c r="I50" s="48"/>
    </row>
    <row r="51" spans="1:9" x14ac:dyDescent="0.25">
      <c r="G51" s="48" t="b">
        <v>0</v>
      </c>
      <c r="I51" s="49">
        <f>IF(G50=TRUE,0,IF(G51=TRUE,1,IF(G52=TRUE,2,0)))</f>
        <v>0</v>
      </c>
    </row>
    <row r="52" spans="1:9" x14ac:dyDescent="0.25">
      <c r="G52" s="48" t="b">
        <v>0</v>
      </c>
      <c r="I52" s="48"/>
    </row>
    <row r="53" spans="1:9" x14ac:dyDescent="0.25">
      <c r="A53" s="7" t="s">
        <v>87</v>
      </c>
      <c r="G53" s="48"/>
      <c r="I53" s="48"/>
    </row>
    <row r="54" spans="1:9" x14ac:dyDescent="0.25">
      <c r="G54" s="48" t="b">
        <v>0</v>
      </c>
      <c r="I54" s="48"/>
    </row>
    <row r="55" spans="1:9" x14ac:dyDescent="0.25">
      <c r="G55" s="48" t="b">
        <v>0</v>
      </c>
      <c r="I55" s="49">
        <f>IF(G54=TRUE,2,IF(G55=TRUE,1,IF(G56=TRUE,0,0)))</f>
        <v>0</v>
      </c>
    </row>
    <row r="56" spans="1:9" x14ac:dyDescent="0.25">
      <c r="G56" s="48" t="b">
        <v>0</v>
      </c>
      <c r="I56" s="48"/>
    </row>
    <row r="57" spans="1:9" x14ac:dyDescent="0.25">
      <c r="A57" s="7" t="s">
        <v>88</v>
      </c>
      <c r="G57" s="48"/>
      <c r="I57" s="48"/>
    </row>
    <row r="58" spans="1:9" x14ac:dyDescent="0.25">
      <c r="G58" s="48" t="b">
        <v>0</v>
      </c>
      <c r="I58" s="48"/>
    </row>
    <row r="59" spans="1:9" x14ac:dyDescent="0.25">
      <c r="G59" s="48" t="b">
        <v>0</v>
      </c>
      <c r="I59" s="49">
        <f>IF(G58=TRUE,0,IF(G59=TRUE,1,IF(G60=TRUE,2,0)))</f>
        <v>0</v>
      </c>
    </row>
    <row r="60" spans="1:9" x14ac:dyDescent="0.25">
      <c r="G60" s="48" t="b">
        <v>0</v>
      </c>
      <c r="I60" s="48"/>
    </row>
    <row r="61" spans="1:9" x14ac:dyDescent="0.25">
      <c r="A61" s="7" t="s">
        <v>89</v>
      </c>
      <c r="G61" s="48"/>
      <c r="I61" s="48"/>
    </row>
    <row r="62" spans="1:9" x14ac:dyDescent="0.25">
      <c r="G62" s="48" t="b">
        <v>0</v>
      </c>
      <c r="I62" s="48"/>
    </row>
    <row r="63" spans="1:9" x14ac:dyDescent="0.25">
      <c r="G63" s="48" t="b">
        <v>0</v>
      </c>
      <c r="I63" s="49">
        <f>IF(G62=TRUE,0,IF(G63=TRUE,1,IF(G64=TRUE,2,0)))</f>
        <v>0</v>
      </c>
    </row>
    <row r="64" spans="1:9" x14ac:dyDescent="0.25">
      <c r="G64" s="48" t="b">
        <v>0</v>
      </c>
      <c r="I64" s="48"/>
    </row>
    <row r="65" spans="1:9" x14ac:dyDescent="0.25">
      <c r="A65" s="7" t="s">
        <v>90</v>
      </c>
      <c r="G65" s="48"/>
      <c r="I65" s="48"/>
    </row>
    <row r="66" spans="1:9" x14ac:dyDescent="0.25">
      <c r="G66" s="48" t="b">
        <v>0</v>
      </c>
      <c r="I66" s="48"/>
    </row>
    <row r="67" spans="1:9" x14ac:dyDescent="0.25">
      <c r="G67" s="48" t="b">
        <v>0</v>
      </c>
      <c r="I67" s="49">
        <f>IF(G66=TRUE,0,IF(G67=TRUE,1,IF(G68=TRUE,2,0)))</f>
        <v>0</v>
      </c>
    </row>
    <row r="68" spans="1:9" x14ac:dyDescent="0.25">
      <c r="G68" s="48" t="b">
        <v>0</v>
      </c>
      <c r="I68" s="48"/>
    </row>
    <row r="69" spans="1:9" x14ac:dyDescent="0.25">
      <c r="A69" s="7" t="s">
        <v>91</v>
      </c>
      <c r="G69" s="48"/>
      <c r="I69" s="48"/>
    </row>
    <row r="70" spans="1:9" x14ac:dyDescent="0.25">
      <c r="G70" s="48" t="b">
        <v>0</v>
      </c>
      <c r="I70" s="48"/>
    </row>
    <row r="71" spans="1:9" x14ac:dyDescent="0.25">
      <c r="G71" s="48" t="b">
        <v>0</v>
      </c>
      <c r="I71" s="49">
        <f>IF(G70=TRUE,0,IF(G71=TRUE,1,IF(G72=TRUE,2,0)))</f>
        <v>0</v>
      </c>
    </row>
    <row r="72" spans="1:9" x14ac:dyDescent="0.25">
      <c r="G72" s="48" t="b">
        <v>0</v>
      </c>
      <c r="I72" s="48"/>
    </row>
    <row r="73" spans="1:9" x14ac:dyDescent="0.25">
      <c r="A73" s="7" t="s">
        <v>92</v>
      </c>
      <c r="G73" s="48"/>
      <c r="I73" s="48"/>
    </row>
    <row r="74" spans="1:9" x14ac:dyDescent="0.25">
      <c r="G74" s="48" t="b">
        <v>0</v>
      </c>
      <c r="I74" s="48"/>
    </row>
    <row r="75" spans="1:9" x14ac:dyDescent="0.25">
      <c r="G75" s="48" t="b">
        <v>0</v>
      </c>
      <c r="I75" s="49">
        <f>IF(G74=TRUE,2,IF(G75=TRUE,1,IF(G76=TRUE,0,0)))</f>
        <v>0</v>
      </c>
    </row>
    <row r="76" spans="1:9" x14ac:dyDescent="0.25">
      <c r="G76" s="48" t="b">
        <v>0</v>
      </c>
      <c r="I76" s="48"/>
    </row>
    <row r="77" spans="1:9" x14ac:dyDescent="0.25">
      <c r="A77" s="7" t="s">
        <v>93</v>
      </c>
      <c r="G77" s="48"/>
      <c r="I77" s="48"/>
    </row>
    <row r="78" spans="1:9" x14ac:dyDescent="0.25">
      <c r="G78" s="48" t="b">
        <v>0</v>
      </c>
      <c r="I78" s="48"/>
    </row>
    <row r="79" spans="1:9" x14ac:dyDescent="0.25">
      <c r="G79" s="48" t="b">
        <v>0</v>
      </c>
      <c r="I79" s="49">
        <f>IF(G78=TRUE,2,IF(G79=TRUE,1,IF(G80=TRUE,0,0)))</f>
        <v>0</v>
      </c>
    </row>
    <row r="80" spans="1:9" x14ac:dyDescent="0.25">
      <c r="G80" s="48" t="b">
        <v>0</v>
      </c>
      <c r="I80" s="48"/>
    </row>
    <row r="81" spans="1:9" x14ac:dyDescent="0.25">
      <c r="A81" s="7" t="s">
        <v>94</v>
      </c>
      <c r="G81" s="48"/>
      <c r="I81" s="48"/>
    </row>
    <row r="82" spans="1:9" x14ac:dyDescent="0.25">
      <c r="G82" s="48" t="b">
        <v>0</v>
      </c>
      <c r="I82" s="48"/>
    </row>
    <row r="83" spans="1:9" x14ac:dyDescent="0.25">
      <c r="G83" s="48" t="b">
        <v>0</v>
      </c>
      <c r="I83" s="49">
        <f>IF(G82=TRUE,0,IF(G83=TRUE,1,IF(G84=TRUE,2,0)))</f>
        <v>0</v>
      </c>
    </row>
    <row r="84" spans="1:9" x14ac:dyDescent="0.25">
      <c r="G84" s="48" t="b">
        <v>0</v>
      </c>
      <c r="I84" s="48"/>
    </row>
    <row r="85" spans="1:9" x14ac:dyDescent="0.25">
      <c r="A85" s="7" t="s">
        <v>95</v>
      </c>
      <c r="G85" s="48"/>
      <c r="I85" s="48"/>
    </row>
    <row r="86" spans="1:9" x14ac:dyDescent="0.25">
      <c r="G86" s="48" t="b">
        <v>0</v>
      </c>
      <c r="I86" s="48"/>
    </row>
    <row r="87" spans="1:9" x14ac:dyDescent="0.25">
      <c r="G87" s="48" t="b">
        <v>0</v>
      </c>
      <c r="I87" s="49">
        <f>IF(G86=TRUE,2,IF(G87=TRUE,1,IF(G88=TRUE,1,0)))</f>
        <v>0</v>
      </c>
    </row>
    <row r="88" spans="1:9" x14ac:dyDescent="0.25">
      <c r="G88" s="48" t="b">
        <v>0</v>
      </c>
      <c r="I88" s="48"/>
    </row>
    <row r="89" spans="1:9" x14ac:dyDescent="0.25">
      <c r="A89" s="7" t="s">
        <v>96</v>
      </c>
      <c r="G89" s="48"/>
      <c r="I89" s="48"/>
    </row>
    <row r="90" spans="1:9" x14ac:dyDescent="0.25">
      <c r="G90" s="48" t="b">
        <v>0</v>
      </c>
      <c r="I90" s="48"/>
    </row>
    <row r="91" spans="1:9" x14ac:dyDescent="0.25">
      <c r="G91" s="48" t="b">
        <v>0</v>
      </c>
      <c r="I91" s="49">
        <f>IF(G90=TRUE,0,IF(G91=TRUE,1,IF(G92=TRUE,2,0)))</f>
        <v>0</v>
      </c>
    </row>
    <row r="92" spans="1:9" x14ac:dyDescent="0.25">
      <c r="G92" s="48" t="b">
        <v>0</v>
      </c>
      <c r="I92" s="48"/>
    </row>
    <row r="93" spans="1:9" x14ac:dyDescent="0.25">
      <c r="A93" s="7" t="s">
        <v>97</v>
      </c>
      <c r="G93" s="48"/>
      <c r="I93" s="48"/>
    </row>
    <row r="94" spans="1:9" x14ac:dyDescent="0.25">
      <c r="G94" s="48" t="b">
        <v>0</v>
      </c>
      <c r="I94" s="48"/>
    </row>
    <row r="95" spans="1:9" x14ac:dyDescent="0.25">
      <c r="G95" s="48" t="b">
        <v>0</v>
      </c>
      <c r="I95" s="49">
        <f>IF(G94=TRUE,0,IF(G95=TRUE,1,IF(G96=TRUE,2,0)))</f>
        <v>0</v>
      </c>
    </row>
    <row r="96" spans="1:9" x14ac:dyDescent="0.25">
      <c r="G96" s="48" t="b">
        <v>0</v>
      </c>
      <c r="I96" s="48"/>
    </row>
    <row r="97" spans="1:9" x14ac:dyDescent="0.25">
      <c r="A97" s="7" t="s">
        <v>98</v>
      </c>
      <c r="G97" s="48"/>
      <c r="I97" s="48"/>
    </row>
    <row r="98" spans="1:9" x14ac:dyDescent="0.25">
      <c r="G98" s="48" t="b">
        <v>0</v>
      </c>
      <c r="I98" s="48"/>
    </row>
    <row r="99" spans="1:9" x14ac:dyDescent="0.25">
      <c r="G99" s="48" t="b">
        <v>0</v>
      </c>
      <c r="I99" s="49">
        <f>IF(G98=TRUE,0,IF(G99=TRUE,1,IF(G100=TRUE,2,0)))</f>
        <v>0</v>
      </c>
    </row>
    <row r="100" spans="1:9" x14ac:dyDescent="0.25">
      <c r="G100" s="48" t="b">
        <v>0</v>
      </c>
      <c r="I100" s="48"/>
    </row>
    <row r="101" spans="1:9" x14ac:dyDescent="0.25">
      <c r="A101" s="7" t="s">
        <v>99</v>
      </c>
      <c r="G101" s="48"/>
      <c r="I101" s="48"/>
    </row>
    <row r="102" spans="1:9" x14ac:dyDescent="0.25">
      <c r="G102" s="48" t="b">
        <v>0</v>
      </c>
      <c r="I102" s="48"/>
    </row>
    <row r="103" spans="1:9" x14ac:dyDescent="0.25">
      <c r="G103" s="48" t="b">
        <v>0</v>
      </c>
      <c r="I103" s="49">
        <f>IF(G102=TRUE,0,IF(G103=TRUE,1,IF(G104=TRUE,2,0)))</f>
        <v>0</v>
      </c>
    </row>
    <row r="104" spans="1:9" x14ac:dyDescent="0.25">
      <c r="G104" s="48" t="b">
        <v>0</v>
      </c>
      <c r="I104" s="48"/>
    </row>
    <row r="105" spans="1:9" x14ac:dyDescent="0.25">
      <c r="A105" s="7" t="s">
        <v>100</v>
      </c>
      <c r="G105" s="48"/>
      <c r="I105" s="48"/>
    </row>
    <row r="106" spans="1:9" x14ac:dyDescent="0.25">
      <c r="G106" s="48" t="b">
        <v>0</v>
      </c>
      <c r="I106" s="48"/>
    </row>
    <row r="107" spans="1:9" x14ac:dyDescent="0.25">
      <c r="G107" s="48" t="b">
        <v>0</v>
      </c>
      <c r="I107" s="49">
        <f>IF(G106=TRUE,0,IF(G107=TRUE,1,IF(G108=TRUE,2,0)))</f>
        <v>0</v>
      </c>
    </row>
    <row r="108" spans="1:9" x14ac:dyDescent="0.25">
      <c r="G108" s="48" t="b">
        <v>0</v>
      </c>
      <c r="I108" s="48"/>
    </row>
    <row r="109" spans="1:9" x14ac:dyDescent="0.25">
      <c r="A109" s="7" t="s">
        <v>101</v>
      </c>
      <c r="G109" s="48"/>
      <c r="I109" s="48"/>
    </row>
    <row r="110" spans="1:9" x14ac:dyDescent="0.25">
      <c r="G110" s="48" t="b">
        <v>0</v>
      </c>
      <c r="I110" s="48"/>
    </row>
    <row r="111" spans="1:9" x14ac:dyDescent="0.25">
      <c r="G111" s="48" t="b">
        <v>0</v>
      </c>
      <c r="I111" s="49">
        <f>IF(G110=TRUE,0,IF(G111=TRUE,1,IF(G112=TRUE,2,0)))</f>
        <v>0</v>
      </c>
    </row>
    <row r="112" spans="1:9" x14ac:dyDescent="0.25">
      <c r="G112" s="48" t="b">
        <v>0</v>
      </c>
      <c r="I112" s="48"/>
    </row>
    <row r="113" spans="1:10" x14ac:dyDescent="0.25">
      <c r="A113" s="7" t="s">
        <v>102</v>
      </c>
      <c r="G113" s="48"/>
      <c r="I113" s="48"/>
    </row>
    <row r="114" spans="1:10" x14ac:dyDescent="0.25">
      <c r="G114" s="48" t="b">
        <v>0</v>
      </c>
      <c r="I114" s="48"/>
    </row>
    <row r="115" spans="1:10" x14ac:dyDescent="0.25">
      <c r="G115" s="48" t="b">
        <v>0</v>
      </c>
      <c r="I115" s="49">
        <f>IF(G114=TRUE,0,IF(G115=TRUE,1,IF(G116=TRUE,2,0)))</f>
        <v>0</v>
      </c>
    </row>
    <row r="116" spans="1:10" x14ac:dyDescent="0.25">
      <c r="G116" s="48" t="b">
        <v>0</v>
      </c>
      <c r="I116" s="48"/>
    </row>
    <row r="117" spans="1:10" x14ac:dyDescent="0.25">
      <c r="A117" s="7" t="s">
        <v>103</v>
      </c>
      <c r="B117" s="10"/>
      <c r="C117" s="10"/>
      <c r="D117" s="10"/>
      <c r="G117" s="48"/>
      <c r="I117" s="48"/>
    </row>
    <row r="118" spans="1:10" x14ac:dyDescent="0.25">
      <c r="E118" s="11"/>
      <c r="G118" s="48" t="b">
        <v>0</v>
      </c>
      <c r="I118" s="48"/>
    </row>
    <row r="119" spans="1:10" x14ac:dyDescent="0.25">
      <c r="A119" s="12"/>
      <c r="B119" s="12"/>
      <c r="C119" s="12"/>
      <c r="E119" s="11"/>
      <c r="G119" s="48" t="b">
        <v>0</v>
      </c>
      <c r="I119" s="49">
        <f>IF(G118=TRUE,0,IF(G119=TRUE,1,IF(G120=TRUE,0,0)))</f>
        <v>0</v>
      </c>
      <c r="J119" s="9"/>
    </row>
    <row r="120" spans="1:10" x14ac:dyDescent="0.25">
      <c r="E120" s="11"/>
      <c r="G120" s="48" t="b">
        <v>0</v>
      </c>
      <c r="I120" s="48"/>
    </row>
    <row r="121" spans="1:10" x14ac:dyDescent="0.25">
      <c r="A121" s="7" t="s">
        <v>104</v>
      </c>
      <c r="E121" s="11"/>
      <c r="G121" s="48"/>
      <c r="I121" s="48"/>
    </row>
    <row r="122" spans="1:10" x14ac:dyDescent="0.25">
      <c r="E122" s="11"/>
      <c r="G122" s="48" t="b">
        <v>0</v>
      </c>
      <c r="I122" s="48"/>
    </row>
    <row r="123" spans="1:10" x14ac:dyDescent="0.25">
      <c r="E123" s="11"/>
      <c r="G123" s="48" t="b">
        <v>0</v>
      </c>
      <c r="I123" s="49">
        <f>IF(G122=TRUE,0,IF(G123=TRUE,1,IF(G124=TRUE,2,0)))</f>
        <v>0</v>
      </c>
      <c r="J123" s="9"/>
    </row>
    <row r="124" spans="1:10" x14ac:dyDescent="0.25">
      <c r="E124" s="13"/>
      <c r="G124" s="48" t="b">
        <v>0</v>
      </c>
      <c r="I124" s="48"/>
    </row>
    <row r="125" spans="1:10" x14ac:dyDescent="0.25">
      <c r="A125" s="7" t="s">
        <v>105</v>
      </c>
      <c r="G125" s="48"/>
      <c r="I125" s="48"/>
    </row>
    <row r="126" spans="1:10" x14ac:dyDescent="0.25">
      <c r="G126" s="48" t="b">
        <v>0</v>
      </c>
      <c r="I126" s="48"/>
    </row>
    <row r="127" spans="1:10" x14ac:dyDescent="0.25">
      <c r="G127" s="48" t="b">
        <v>0</v>
      </c>
      <c r="I127" s="49">
        <f>IF(G126=TRUE,2,IF(G127=TRUE,1,IF(G128=TRUE,0,0)))</f>
        <v>0</v>
      </c>
    </row>
    <row r="128" spans="1:10" x14ac:dyDescent="0.25">
      <c r="G128" s="48" t="b">
        <v>0</v>
      </c>
      <c r="I128" s="48"/>
    </row>
    <row r="129" spans="1:9" x14ac:dyDescent="0.25">
      <c r="A129" s="7" t="s">
        <v>106</v>
      </c>
      <c r="G129" s="48"/>
      <c r="I129" s="48"/>
    </row>
    <row r="130" spans="1:9" x14ac:dyDescent="0.25">
      <c r="G130" s="48" t="b">
        <v>0</v>
      </c>
      <c r="I130" s="48"/>
    </row>
    <row r="131" spans="1:9" x14ac:dyDescent="0.25">
      <c r="G131" s="48" t="b">
        <v>0</v>
      </c>
      <c r="I131" s="49">
        <f>IF(G130=TRUE,0,IF(G131=TRUE,1,IF(G132=TRUE,2,0)))</f>
        <v>0</v>
      </c>
    </row>
    <row r="132" spans="1:9" x14ac:dyDescent="0.25">
      <c r="G132" s="48" t="b">
        <v>0</v>
      </c>
      <c r="I132" s="48"/>
    </row>
    <row r="133" spans="1:9" x14ac:dyDescent="0.25">
      <c r="A133" s="7" t="s">
        <v>107</v>
      </c>
      <c r="G133" s="48"/>
      <c r="I133" s="48"/>
    </row>
    <row r="134" spans="1:9" x14ac:dyDescent="0.25">
      <c r="G134" s="48" t="b">
        <v>0</v>
      </c>
      <c r="I134" s="48"/>
    </row>
    <row r="135" spans="1:9" x14ac:dyDescent="0.25">
      <c r="G135" s="48" t="b">
        <v>0</v>
      </c>
      <c r="I135" s="49">
        <f>IF(G134=TRUE,0,IF(G135=TRUE,1,IF(G136=TRUE,2,0)))</f>
        <v>0</v>
      </c>
    </row>
    <row r="136" spans="1:9" x14ac:dyDescent="0.25">
      <c r="G136" s="48" t="b">
        <v>0</v>
      </c>
      <c r="I136" s="48"/>
    </row>
    <row r="137" spans="1:9" x14ac:dyDescent="0.25">
      <c r="A137" s="7" t="s">
        <v>108</v>
      </c>
      <c r="G137" s="48"/>
      <c r="I137" s="48"/>
    </row>
    <row r="138" spans="1:9" x14ac:dyDescent="0.25">
      <c r="G138" s="48" t="b">
        <v>0</v>
      </c>
      <c r="I138" s="48"/>
    </row>
    <row r="139" spans="1:9" x14ac:dyDescent="0.25">
      <c r="G139" s="48" t="b">
        <v>0</v>
      </c>
      <c r="I139" s="49">
        <f>IF(G138=TRUE,2,IF(G139=TRUE,1,IF(G140=TRUE,0,0)))</f>
        <v>0</v>
      </c>
    </row>
    <row r="140" spans="1:9" x14ac:dyDescent="0.25">
      <c r="G140" s="48" t="b">
        <v>0</v>
      </c>
      <c r="I140" s="48"/>
    </row>
    <row r="141" spans="1:9" x14ac:dyDescent="0.25">
      <c r="A141" s="7" t="s">
        <v>109</v>
      </c>
      <c r="G141" s="48"/>
      <c r="I141" s="48"/>
    </row>
    <row r="142" spans="1:9" x14ac:dyDescent="0.25">
      <c r="G142" s="48" t="b">
        <v>0</v>
      </c>
      <c r="I142" s="48"/>
    </row>
    <row r="143" spans="1:9" x14ac:dyDescent="0.25">
      <c r="G143" s="48" t="b">
        <v>0</v>
      </c>
      <c r="I143" s="49">
        <f>IF(G142=TRUE,0,IF(G143=TRUE,1,IF(G144=TRUE,2,0)))</f>
        <v>0</v>
      </c>
    </row>
    <row r="144" spans="1:9" x14ac:dyDescent="0.25">
      <c r="G144" s="48" t="b">
        <v>0</v>
      </c>
      <c r="I144" s="48"/>
    </row>
    <row r="145" spans="1:9" x14ac:dyDescent="0.25">
      <c r="A145" s="7" t="s">
        <v>110</v>
      </c>
      <c r="G145" s="48"/>
      <c r="I145" s="48"/>
    </row>
    <row r="146" spans="1:9" x14ac:dyDescent="0.25">
      <c r="G146" s="48" t="b">
        <v>0</v>
      </c>
      <c r="I146" s="48"/>
    </row>
    <row r="147" spans="1:9" x14ac:dyDescent="0.25">
      <c r="G147" s="48" t="b">
        <v>0</v>
      </c>
      <c r="I147" s="49">
        <f>IF(G146=TRUE,0,IF(G147=TRUE,1,IF(G148=TRUE,2,0)))</f>
        <v>0</v>
      </c>
    </row>
    <row r="148" spans="1:9" x14ac:dyDescent="0.25">
      <c r="G148" s="48" t="b">
        <v>0</v>
      </c>
      <c r="I148" s="48"/>
    </row>
    <row r="149" spans="1:9" x14ac:dyDescent="0.25">
      <c r="A149" s="7" t="s">
        <v>111</v>
      </c>
      <c r="G149" s="48"/>
      <c r="I149" s="48"/>
    </row>
    <row r="150" spans="1:9" x14ac:dyDescent="0.25">
      <c r="G150" s="48" t="b">
        <v>0</v>
      </c>
      <c r="I150" s="48"/>
    </row>
    <row r="151" spans="1:9" x14ac:dyDescent="0.25">
      <c r="G151" s="48" t="b">
        <v>0</v>
      </c>
      <c r="I151" s="49">
        <f>IF(G150=TRUE,2,IF(G151=TRUE,1,IF(G152=TRUE,0,0)))</f>
        <v>0</v>
      </c>
    </row>
    <row r="152" spans="1:9" x14ac:dyDescent="0.25">
      <c r="G152" s="48" t="b">
        <v>0</v>
      </c>
      <c r="I152" s="48"/>
    </row>
    <row r="153" spans="1:9" x14ac:dyDescent="0.25">
      <c r="A153" s="7" t="s">
        <v>112</v>
      </c>
      <c r="G153" s="48"/>
      <c r="I153" s="48"/>
    </row>
    <row r="154" spans="1:9" x14ac:dyDescent="0.25">
      <c r="G154" s="48" t="b">
        <v>0</v>
      </c>
      <c r="I154" s="48"/>
    </row>
    <row r="155" spans="1:9" x14ac:dyDescent="0.25">
      <c r="G155" s="48" t="b">
        <v>0</v>
      </c>
      <c r="I155" s="49">
        <f>IF(G154=TRUE,2,IF(G155=TRUE,1,IF(G156=TRUE,0,0)))</f>
        <v>0</v>
      </c>
    </row>
    <row r="156" spans="1:9" x14ac:dyDescent="0.25">
      <c r="G156" s="48" t="b">
        <v>0</v>
      </c>
      <c r="I156" s="48"/>
    </row>
    <row r="157" spans="1:9" x14ac:dyDescent="0.25">
      <c r="A157" s="7" t="s">
        <v>113</v>
      </c>
      <c r="G157" s="48"/>
      <c r="I157" s="48"/>
    </row>
    <row r="158" spans="1:9" x14ac:dyDescent="0.25">
      <c r="G158" s="48" t="b">
        <v>0</v>
      </c>
      <c r="I158" s="48"/>
    </row>
    <row r="159" spans="1:9" x14ac:dyDescent="0.25">
      <c r="G159" s="48" t="b">
        <v>0</v>
      </c>
      <c r="I159" s="49">
        <f>IF(G158=TRUE,2,IF(G159=TRUE,1,IF(G160=TRUE,0,0)))</f>
        <v>0</v>
      </c>
    </row>
    <row r="160" spans="1:9" x14ac:dyDescent="0.25">
      <c r="G160" s="48" t="b">
        <v>0</v>
      </c>
      <c r="I160" s="48"/>
    </row>
    <row r="161" spans="1:9" x14ac:dyDescent="0.25">
      <c r="A161" s="7" t="s">
        <v>114</v>
      </c>
      <c r="G161" s="48"/>
      <c r="I161" s="48"/>
    </row>
    <row r="162" spans="1:9" x14ac:dyDescent="0.25">
      <c r="G162" s="48" t="b">
        <v>0</v>
      </c>
      <c r="I162" s="49"/>
    </row>
    <row r="163" spans="1:9" x14ac:dyDescent="0.25">
      <c r="G163" s="48" t="b">
        <v>0</v>
      </c>
      <c r="I163" s="49">
        <f>IF(G162=TRUE,2,IF(G163=TRUE,1,IF(G164=TRUE,0,0)))</f>
        <v>0</v>
      </c>
    </row>
    <row r="164" spans="1:9" x14ac:dyDescent="0.25">
      <c r="G164" s="48" t="b">
        <v>0</v>
      </c>
      <c r="I164" s="48"/>
    </row>
    <row r="165" spans="1:9" x14ac:dyDescent="0.25">
      <c r="A165" s="7" t="s">
        <v>115</v>
      </c>
      <c r="G165" s="48"/>
      <c r="I165" s="48"/>
    </row>
    <row r="166" spans="1:9" x14ac:dyDescent="0.25">
      <c r="G166" s="48" t="b">
        <v>0</v>
      </c>
      <c r="I166" s="48"/>
    </row>
    <row r="167" spans="1:9" x14ac:dyDescent="0.25">
      <c r="G167" s="48" t="b">
        <v>0</v>
      </c>
      <c r="I167" s="49">
        <f>IF(G166=TRUE,2,IF(G167=TRUE,1,IF(G168=TRUE,0,0)))</f>
        <v>0</v>
      </c>
    </row>
    <row r="168" spans="1:9" x14ac:dyDescent="0.25">
      <c r="G168" s="48" t="b">
        <v>0</v>
      </c>
      <c r="I168" s="48"/>
    </row>
    <row r="169" spans="1:9" x14ac:dyDescent="0.25">
      <c r="A169" s="7" t="s">
        <v>116</v>
      </c>
      <c r="G169" s="48"/>
      <c r="I169" s="48"/>
    </row>
    <row r="170" spans="1:9" x14ac:dyDescent="0.25">
      <c r="G170" s="48" t="b">
        <v>0</v>
      </c>
      <c r="I170" s="48"/>
    </row>
    <row r="171" spans="1:9" x14ac:dyDescent="0.25">
      <c r="G171" s="48" t="b">
        <v>0</v>
      </c>
      <c r="I171" s="49">
        <f>IF(G170=TRUE,0,IF(G171=TRUE,1,IF(G172=TRUE,2,0)))</f>
        <v>0</v>
      </c>
    </row>
    <row r="172" spans="1:9" x14ac:dyDescent="0.25">
      <c r="G172" s="48" t="b">
        <v>0</v>
      </c>
      <c r="I172" s="48"/>
    </row>
    <row r="173" spans="1:9" x14ac:dyDescent="0.25">
      <c r="A173" s="7" t="s">
        <v>117</v>
      </c>
      <c r="G173" s="48"/>
      <c r="I173" s="48"/>
    </row>
    <row r="174" spans="1:9" x14ac:dyDescent="0.25">
      <c r="G174" s="48" t="b">
        <v>0</v>
      </c>
      <c r="I174" s="48"/>
    </row>
    <row r="175" spans="1:9" x14ac:dyDescent="0.25">
      <c r="G175" s="48" t="b">
        <v>0</v>
      </c>
      <c r="I175" s="49">
        <f>IF(G174=TRUE,2,IF(G175=TRUE,1,IF(G176=TRUE,0,0)))</f>
        <v>0</v>
      </c>
    </row>
    <row r="176" spans="1:9" x14ac:dyDescent="0.25">
      <c r="G176" s="48" t="b">
        <v>0</v>
      </c>
      <c r="I176" s="48"/>
    </row>
    <row r="177" spans="1:9" x14ac:dyDescent="0.25">
      <c r="A177" s="7" t="s">
        <v>118</v>
      </c>
      <c r="G177" s="48"/>
      <c r="I177" s="48"/>
    </row>
    <row r="178" spans="1:9" x14ac:dyDescent="0.25">
      <c r="G178" s="48" t="b">
        <v>0</v>
      </c>
      <c r="I178" s="48"/>
    </row>
    <row r="179" spans="1:9" x14ac:dyDescent="0.25">
      <c r="G179" s="48" t="b">
        <v>0</v>
      </c>
      <c r="I179" s="49">
        <f>IF(G178=TRUE,2,IF(G179=TRUE,1,IF(G180=TRUE,0,0)))</f>
        <v>0</v>
      </c>
    </row>
    <row r="180" spans="1:9" x14ac:dyDescent="0.25">
      <c r="G180" s="48" t="b">
        <v>0</v>
      </c>
      <c r="I180" s="48"/>
    </row>
    <row r="181" spans="1:9" x14ac:dyDescent="0.25">
      <c r="A181" s="7" t="s">
        <v>119</v>
      </c>
      <c r="G181" s="48"/>
      <c r="I181" s="48"/>
    </row>
    <row r="182" spans="1:9" x14ac:dyDescent="0.25">
      <c r="G182" s="48" t="b">
        <v>0</v>
      </c>
      <c r="I182" s="48"/>
    </row>
    <row r="183" spans="1:9" x14ac:dyDescent="0.25">
      <c r="G183" s="48" t="b">
        <v>0</v>
      </c>
      <c r="I183" s="49">
        <f>IF(G182=TRUE,0,IF(G183=TRUE,1,IF(G184=TRUE,2,0)))</f>
        <v>0</v>
      </c>
    </row>
    <row r="184" spans="1:9" x14ac:dyDescent="0.25">
      <c r="G184" s="48" t="b">
        <v>0</v>
      </c>
      <c r="I184" s="48"/>
    </row>
    <row r="185" spans="1:9" x14ac:dyDescent="0.25">
      <c r="A185" s="7" t="s">
        <v>120</v>
      </c>
      <c r="G185" s="48"/>
      <c r="I185" s="48"/>
    </row>
    <row r="186" spans="1:9" x14ac:dyDescent="0.25">
      <c r="G186" s="48" t="b">
        <v>0</v>
      </c>
      <c r="I186" s="48"/>
    </row>
    <row r="187" spans="1:9" x14ac:dyDescent="0.25">
      <c r="G187" s="48" t="b">
        <v>0</v>
      </c>
      <c r="I187" s="49">
        <f>IF(G186=TRUE,0,IF(G187=TRUE,1,IF(G188=TRUE,2,0)))</f>
        <v>0</v>
      </c>
    </row>
    <row r="188" spans="1:9" x14ac:dyDescent="0.25">
      <c r="G188" s="48" t="b">
        <v>0</v>
      </c>
      <c r="I188" s="48"/>
    </row>
    <row r="189" spans="1:9" x14ac:dyDescent="0.25">
      <c r="A189" s="7" t="s">
        <v>121</v>
      </c>
      <c r="G189" s="48"/>
      <c r="I189" s="48"/>
    </row>
    <row r="190" spans="1:9" x14ac:dyDescent="0.25">
      <c r="G190" s="48" t="b">
        <v>0</v>
      </c>
      <c r="I190" s="48"/>
    </row>
    <row r="191" spans="1:9" x14ac:dyDescent="0.25">
      <c r="G191" s="48" t="b">
        <v>0</v>
      </c>
      <c r="I191" s="49">
        <f>IF(G190=TRUE,2,IF(G191=TRUE,1,IF(G192=TRUE,0,0)))</f>
        <v>0</v>
      </c>
    </row>
    <row r="192" spans="1:9" x14ac:dyDescent="0.25">
      <c r="G192" s="48" t="b">
        <v>0</v>
      </c>
      <c r="I192" s="48"/>
    </row>
    <row r="193" spans="1:9" x14ac:dyDescent="0.25">
      <c r="A193" s="7" t="s">
        <v>122</v>
      </c>
      <c r="G193" s="48"/>
      <c r="I193" s="48"/>
    </row>
    <row r="194" spans="1:9" x14ac:dyDescent="0.25">
      <c r="G194" s="48" t="b">
        <v>0</v>
      </c>
      <c r="I194" s="48"/>
    </row>
    <row r="195" spans="1:9" x14ac:dyDescent="0.25">
      <c r="G195" s="48" t="b">
        <v>0</v>
      </c>
      <c r="I195" s="49">
        <f>IF(G194=TRUE,2,IF(G195=TRUE,1,IF(G196=TRUE,0,0)))</f>
        <v>0</v>
      </c>
    </row>
    <row r="196" spans="1:9" x14ac:dyDescent="0.25">
      <c r="G196" s="48" t="b">
        <v>0</v>
      </c>
      <c r="I196" s="48"/>
    </row>
    <row r="197" spans="1:9" x14ac:dyDescent="0.25">
      <c r="A197" s="7" t="s">
        <v>123</v>
      </c>
      <c r="G197" s="48"/>
      <c r="I197" s="48"/>
    </row>
    <row r="198" spans="1:9" x14ac:dyDescent="0.25">
      <c r="G198" s="48" t="b">
        <v>0</v>
      </c>
      <c r="I198" s="48"/>
    </row>
    <row r="199" spans="1:9" x14ac:dyDescent="0.25">
      <c r="G199" s="48" t="b">
        <v>0</v>
      </c>
      <c r="I199" s="49">
        <f>IF(G198=TRUE,2,IF(G199=TRUE,1,IF(G200=TRUE,0,0)))</f>
        <v>0</v>
      </c>
    </row>
    <row r="200" spans="1:9" x14ac:dyDescent="0.25">
      <c r="G200" s="48" t="b">
        <v>0</v>
      </c>
      <c r="I200" s="48"/>
    </row>
    <row r="201" spans="1:9" x14ac:dyDescent="0.25">
      <c r="A201" s="7" t="s">
        <v>124</v>
      </c>
      <c r="G201" s="48"/>
      <c r="I201" s="48"/>
    </row>
    <row r="202" spans="1:9" x14ac:dyDescent="0.25">
      <c r="G202" s="48" t="b">
        <v>0</v>
      </c>
      <c r="I202" s="48"/>
    </row>
    <row r="203" spans="1:9" x14ac:dyDescent="0.25">
      <c r="G203" s="48" t="b">
        <v>0</v>
      </c>
      <c r="I203" s="49">
        <f>IF(G202=TRUE,2,IF(G203=TRUE,1,IF(G204=TRUE,0,0)))</f>
        <v>0</v>
      </c>
    </row>
    <row r="204" spans="1:9" x14ac:dyDescent="0.25">
      <c r="G204" s="48" t="b">
        <v>0</v>
      </c>
      <c r="I204" s="48"/>
    </row>
    <row r="205" spans="1:9" x14ac:dyDescent="0.25">
      <c r="A205" s="7" t="s">
        <v>125</v>
      </c>
      <c r="G205" s="48"/>
      <c r="I205" s="48"/>
    </row>
    <row r="206" spans="1:9" x14ac:dyDescent="0.25">
      <c r="G206" s="48" t="b">
        <v>0</v>
      </c>
      <c r="I206" s="48"/>
    </row>
    <row r="207" spans="1:9" x14ac:dyDescent="0.25">
      <c r="G207" s="48" t="b">
        <v>0</v>
      </c>
      <c r="I207" s="49">
        <f>IF(G206=TRUE,2,IF(G207=TRUE,1,IF(G208=TRUE,0,0)))</f>
        <v>0</v>
      </c>
    </row>
    <row r="208" spans="1:9" x14ac:dyDescent="0.25">
      <c r="G208" s="48" t="b">
        <v>0</v>
      </c>
      <c r="I208" s="48"/>
    </row>
    <row r="209" spans="1:9" x14ac:dyDescent="0.25">
      <c r="A209" s="7" t="s">
        <v>126</v>
      </c>
      <c r="G209" s="48"/>
      <c r="I209" s="48"/>
    </row>
    <row r="210" spans="1:9" x14ac:dyDescent="0.25">
      <c r="G210" s="48" t="b">
        <v>0</v>
      </c>
      <c r="I210" s="48"/>
    </row>
    <row r="211" spans="1:9" x14ac:dyDescent="0.25">
      <c r="G211" s="48" t="b">
        <v>0</v>
      </c>
      <c r="I211" s="49">
        <f>IF(G210=TRUE,0,IF(G211=TRUE,1,IF(G212=TRUE,2,0)))</f>
        <v>0</v>
      </c>
    </row>
    <row r="212" spans="1:9" x14ac:dyDescent="0.25">
      <c r="G212" s="48" t="b">
        <v>0</v>
      </c>
      <c r="I212" s="48"/>
    </row>
    <row r="213" spans="1:9" x14ac:dyDescent="0.25">
      <c r="A213" s="7" t="s">
        <v>127</v>
      </c>
      <c r="G213" s="48"/>
      <c r="I213" s="48"/>
    </row>
    <row r="214" spans="1:9" x14ac:dyDescent="0.25">
      <c r="G214" s="48" t="b">
        <v>0</v>
      </c>
      <c r="I214" s="48"/>
    </row>
    <row r="215" spans="1:9" x14ac:dyDescent="0.25">
      <c r="G215" s="48" t="b">
        <v>0</v>
      </c>
      <c r="I215" s="49">
        <f>IF(G214=TRUE,2,IF(G215=TRUE,1,IF(G216=TRUE,0,0)))</f>
        <v>0</v>
      </c>
    </row>
    <row r="216" spans="1:9" x14ac:dyDescent="0.25">
      <c r="G216" s="48" t="b">
        <v>0</v>
      </c>
      <c r="I216" s="48"/>
    </row>
    <row r="217" spans="1:9" x14ac:dyDescent="0.25">
      <c r="A217" s="7" t="s">
        <v>128</v>
      </c>
      <c r="G217" s="48"/>
      <c r="I217" s="48"/>
    </row>
    <row r="218" spans="1:9" x14ac:dyDescent="0.25">
      <c r="G218" s="48" t="b">
        <v>0</v>
      </c>
      <c r="I218" s="48"/>
    </row>
    <row r="219" spans="1:9" x14ac:dyDescent="0.25">
      <c r="G219" s="48" t="b">
        <v>0</v>
      </c>
      <c r="I219" s="49">
        <f>IF(G218=TRUE,0,IF(G219=TRUE,1,IF(G220=TRUE,0,0)))</f>
        <v>0</v>
      </c>
    </row>
    <row r="220" spans="1:9" x14ac:dyDescent="0.25">
      <c r="G220" s="48" t="b">
        <v>0</v>
      </c>
      <c r="I220" s="48"/>
    </row>
    <row r="221" spans="1:9" x14ac:dyDescent="0.25">
      <c r="A221" s="7" t="s">
        <v>129</v>
      </c>
      <c r="G221" s="48"/>
      <c r="I221" s="48"/>
    </row>
    <row r="222" spans="1:9" x14ac:dyDescent="0.25">
      <c r="G222" s="48" t="b">
        <v>0</v>
      </c>
      <c r="I222" s="48"/>
    </row>
    <row r="223" spans="1:9" x14ac:dyDescent="0.25">
      <c r="G223" s="48" t="b">
        <v>0</v>
      </c>
      <c r="I223" s="49">
        <f>IF(G222=TRUE,0,IF(G223=TRUE,1,IF(G224=TRUE,0,0)))</f>
        <v>0</v>
      </c>
    </row>
    <row r="224" spans="1:9" x14ac:dyDescent="0.25">
      <c r="G224" s="48" t="b">
        <v>0</v>
      </c>
      <c r="I224" s="48"/>
    </row>
    <row r="225" spans="1:9" x14ac:dyDescent="0.25">
      <c r="A225" s="7" t="s">
        <v>130</v>
      </c>
      <c r="G225" s="48"/>
      <c r="I225" s="48"/>
    </row>
    <row r="226" spans="1:9" x14ac:dyDescent="0.25">
      <c r="G226" s="48" t="b">
        <v>0</v>
      </c>
      <c r="I226" s="48"/>
    </row>
    <row r="227" spans="1:9" x14ac:dyDescent="0.25">
      <c r="G227" s="48" t="b">
        <v>0</v>
      </c>
      <c r="I227" s="49">
        <f>IF(G226=TRUE,2,IF(G227=TRUE,1,IF(G228=TRUE,0,0)))</f>
        <v>0</v>
      </c>
    </row>
    <row r="228" spans="1:9" x14ac:dyDescent="0.25">
      <c r="G228" s="48" t="b">
        <v>0</v>
      </c>
      <c r="I228" s="48"/>
    </row>
    <row r="229" spans="1:9" x14ac:dyDescent="0.25">
      <c r="A229" s="7" t="s">
        <v>131</v>
      </c>
      <c r="G229" s="48"/>
      <c r="I229" s="48"/>
    </row>
    <row r="230" spans="1:9" x14ac:dyDescent="0.25">
      <c r="G230" s="48" t="b">
        <v>0</v>
      </c>
      <c r="I230" s="48"/>
    </row>
    <row r="231" spans="1:9" x14ac:dyDescent="0.25">
      <c r="G231" s="48" t="b">
        <v>0</v>
      </c>
      <c r="I231" s="49">
        <f>IF(G230=TRUE,2,IF(G231=TRUE,1,IF(G232=TRUE,0,0)))</f>
        <v>0</v>
      </c>
    </row>
    <row r="232" spans="1:9" x14ac:dyDescent="0.25">
      <c r="G232" s="48" t="b">
        <v>0</v>
      </c>
      <c r="I232" s="48"/>
    </row>
    <row r="233" spans="1:9" x14ac:dyDescent="0.25">
      <c r="A233" s="7" t="s">
        <v>132</v>
      </c>
      <c r="G233" s="48"/>
      <c r="I233" s="48"/>
    </row>
    <row r="234" spans="1:9" x14ac:dyDescent="0.25">
      <c r="G234" s="48" t="b">
        <v>0</v>
      </c>
      <c r="I234" s="48"/>
    </row>
    <row r="235" spans="1:9" x14ac:dyDescent="0.25">
      <c r="G235" s="48" t="b">
        <v>0</v>
      </c>
      <c r="I235" s="49">
        <f>IF(G234=TRUE,0,IF(G235=TRUE,1,IF(G236=TRUE,2,0)))</f>
        <v>0</v>
      </c>
    </row>
    <row r="236" spans="1:9" x14ac:dyDescent="0.25">
      <c r="G236" s="48" t="b">
        <v>0</v>
      </c>
      <c r="I236" s="48"/>
    </row>
    <row r="237" spans="1:9" x14ac:dyDescent="0.25">
      <c r="A237" s="7" t="s">
        <v>133</v>
      </c>
      <c r="G237" s="48"/>
      <c r="I237" s="48"/>
    </row>
    <row r="238" spans="1:9" x14ac:dyDescent="0.25">
      <c r="G238" s="48" t="b">
        <v>0</v>
      </c>
      <c r="I238" s="48"/>
    </row>
    <row r="239" spans="1:9" x14ac:dyDescent="0.25">
      <c r="G239" s="48" t="b">
        <v>0</v>
      </c>
      <c r="I239" s="49">
        <f>IF(G238=TRUE,2,IF(G239=TRUE,1,IF(G240=TRUE,0,0)))</f>
        <v>0</v>
      </c>
    </row>
    <row r="240" spans="1:9" x14ac:dyDescent="0.25">
      <c r="G240" s="48" t="b">
        <v>0</v>
      </c>
      <c r="I240" s="48"/>
    </row>
    <row r="241" spans="1:9" x14ac:dyDescent="0.25">
      <c r="A241" s="7" t="s">
        <v>134</v>
      </c>
      <c r="G241" s="48"/>
      <c r="I241" s="48"/>
    </row>
    <row r="242" spans="1:9" x14ac:dyDescent="0.25">
      <c r="G242" s="48" t="b">
        <v>0</v>
      </c>
      <c r="I242" s="48"/>
    </row>
    <row r="243" spans="1:9" x14ac:dyDescent="0.25">
      <c r="G243" s="48" t="b">
        <v>0</v>
      </c>
      <c r="I243" s="49">
        <f>IF(G242=TRUE,0,IF(G243=TRUE,1,IF(G244=TRUE,2,0)))</f>
        <v>0</v>
      </c>
    </row>
    <row r="244" spans="1:9" x14ac:dyDescent="0.25">
      <c r="G244" s="48" t="b">
        <v>0</v>
      </c>
      <c r="I244" s="48"/>
    </row>
    <row r="245" spans="1:9" x14ac:dyDescent="0.25">
      <c r="A245" s="7" t="s">
        <v>135</v>
      </c>
      <c r="G245" s="48"/>
      <c r="I245" s="48"/>
    </row>
    <row r="246" spans="1:9" x14ac:dyDescent="0.25">
      <c r="G246" s="48" t="b">
        <v>0</v>
      </c>
      <c r="I246" s="48"/>
    </row>
    <row r="247" spans="1:9" x14ac:dyDescent="0.25">
      <c r="G247" s="48" t="b">
        <v>0</v>
      </c>
      <c r="I247" s="49">
        <f>IF(G246=TRUE,0,IF(G247=TRUE,1,IF(G248=TRUE,2,0)))</f>
        <v>0</v>
      </c>
    </row>
    <row r="248" spans="1:9" x14ac:dyDescent="0.25">
      <c r="G248" s="48" t="b">
        <v>0</v>
      </c>
      <c r="I248" s="48"/>
    </row>
    <row r="249" spans="1:9" x14ac:dyDescent="0.25">
      <c r="A249" s="7" t="s">
        <v>136</v>
      </c>
      <c r="G249" s="48"/>
      <c r="I249" s="48"/>
    </row>
    <row r="250" spans="1:9" x14ac:dyDescent="0.25">
      <c r="G250" s="48" t="b">
        <v>0</v>
      </c>
      <c r="I250" s="48"/>
    </row>
    <row r="251" spans="1:9" x14ac:dyDescent="0.25">
      <c r="G251" s="48" t="b">
        <v>0</v>
      </c>
      <c r="I251" s="49">
        <f>IF(G250=TRUE,0,IF(G251=TRUE,1,IF(G252=TRUE,2,0)))</f>
        <v>0</v>
      </c>
    </row>
    <row r="252" spans="1:9" x14ac:dyDescent="0.25">
      <c r="G252" s="48" t="b">
        <v>0</v>
      </c>
      <c r="I252" s="48"/>
    </row>
    <row r="253" spans="1:9" x14ac:dyDescent="0.25">
      <c r="A253" s="7" t="s">
        <v>137</v>
      </c>
      <c r="G253" s="48"/>
      <c r="I253" s="48"/>
    </row>
    <row r="254" spans="1:9" x14ac:dyDescent="0.25">
      <c r="G254" s="48" t="b">
        <v>0</v>
      </c>
      <c r="I254" s="48"/>
    </row>
    <row r="255" spans="1:9" x14ac:dyDescent="0.25">
      <c r="G255" s="48" t="b">
        <v>0</v>
      </c>
      <c r="I255" s="49">
        <f>IF(G254=TRUE,0,IF(G255=TRUE,1,IF(G256=TRUE,2,0)))</f>
        <v>0</v>
      </c>
    </row>
    <row r="256" spans="1:9" x14ac:dyDescent="0.25">
      <c r="G256" s="48" t="b">
        <v>0</v>
      </c>
      <c r="I256" s="48"/>
    </row>
    <row r="257" spans="1:9" x14ac:dyDescent="0.25">
      <c r="A257" s="7" t="s">
        <v>138</v>
      </c>
      <c r="G257" s="48"/>
      <c r="I257" s="48"/>
    </row>
    <row r="258" spans="1:9" x14ac:dyDescent="0.25">
      <c r="G258" s="48" t="b">
        <v>0</v>
      </c>
      <c r="I258" s="48"/>
    </row>
    <row r="259" spans="1:9" x14ac:dyDescent="0.25">
      <c r="G259" s="48" t="b">
        <v>0</v>
      </c>
      <c r="I259" s="49">
        <f>IF(G258=TRUE,0,IF(G259=TRUE,1,IF(G260=TRUE,2,0)))</f>
        <v>0</v>
      </c>
    </row>
    <row r="260" spans="1:9" x14ac:dyDescent="0.25">
      <c r="G260" s="48" t="b">
        <v>0</v>
      </c>
      <c r="I260" s="48"/>
    </row>
    <row r="261" spans="1:9" x14ac:dyDescent="0.25">
      <c r="A261" s="7" t="s">
        <v>139</v>
      </c>
      <c r="G261" s="48"/>
      <c r="I261" s="48"/>
    </row>
    <row r="262" spans="1:9" x14ac:dyDescent="0.25">
      <c r="G262" s="48" t="b">
        <v>0</v>
      </c>
      <c r="I262" s="48"/>
    </row>
    <row r="263" spans="1:9" x14ac:dyDescent="0.25">
      <c r="G263" s="48" t="b">
        <v>0</v>
      </c>
      <c r="I263" s="49">
        <f>IF(G262=TRUE,0,IF(G263=TRUE,1,IF(G264=TRUE,2,0)))</f>
        <v>0</v>
      </c>
    </row>
    <row r="264" spans="1:9" x14ac:dyDescent="0.25">
      <c r="G264" s="48" t="b">
        <v>0</v>
      </c>
      <c r="I264" s="48"/>
    </row>
    <row r="265" spans="1:9" x14ac:dyDescent="0.25">
      <c r="A265" s="7" t="s">
        <v>140</v>
      </c>
      <c r="G265" s="48"/>
      <c r="I265" s="48"/>
    </row>
    <row r="266" spans="1:9" x14ac:dyDescent="0.25">
      <c r="G266" s="48" t="b">
        <v>0</v>
      </c>
      <c r="I266" s="48"/>
    </row>
    <row r="267" spans="1:9" x14ac:dyDescent="0.25">
      <c r="G267" s="48" t="b">
        <v>0</v>
      </c>
      <c r="I267" s="49">
        <f>IF(G266=TRUE,2,IF(G267=TRUE,1,IF(G268=TRUE,0,0)))</f>
        <v>0</v>
      </c>
    </row>
    <row r="268" spans="1:9" x14ac:dyDescent="0.25">
      <c r="G268" s="48" t="b">
        <v>0</v>
      </c>
      <c r="I268" s="48"/>
    </row>
    <row r="269" spans="1:9" x14ac:dyDescent="0.25">
      <c r="A269" s="7" t="s">
        <v>141</v>
      </c>
      <c r="G269" s="48"/>
      <c r="I269" s="48"/>
    </row>
    <row r="270" spans="1:9" x14ac:dyDescent="0.25">
      <c r="G270" s="48" t="b">
        <v>0</v>
      </c>
      <c r="I270" s="48"/>
    </row>
    <row r="271" spans="1:9" x14ac:dyDescent="0.25">
      <c r="G271" s="48" t="b">
        <v>0</v>
      </c>
      <c r="I271" s="49">
        <f>IF(G270=TRUE,0,IF(G271=TRUE,1,IF(G272=TRUE,2,0)))</f>
        <v>0</v>
      </c>
    </row>
    <row r="272" spans="1:9" x14ac:dyDescent="0.25">
      <c r="G272" s="48" t="b">
        <v>0</v>
      </c>
      <c r="I272" s="48"/>
    </row>
    <row r="273" spans="1:9" x14ac:dyDescent="0.25">
      <c r="A273" s="7" t="s">
        <v>142</v>
      </c>
      <c r="G273" s="48"/>
      <c r="I273" s="48"/>
    </row>
    <row r="274" spans="1:9" x14ac:dyDescent="0.25">
      <c r="G274" s="48" t="b">
        <v>0</v>
      </c>
      <c r="I274" s="48"/>
    </row>
    <row r="275" spans="1:9" x14ac:dyDescent="0.25">
      <c r="G275" s="48" t="b">
        <v>0</v>
      </c>
      <c r="I275" s="49">
        <f>IF(G274=TRUE,0,IF(G275=TRUE,1,IF(G276=TRUE,2,0)))</f>
        <v>0</v>
      </c>
    </row>
    <row r="276" spans="1:9" x14ac:dyDescent="0.25">
      <c r="G276" s="48" t="b">
        <v>0</v>
      </c>
      <c r="I276" s="48"/>
    </row>
    <row r="277" spans="1:9" x14ac:dyDescent="0.25">
      <c r="A277" s="7" t="s">
        <v>143</v>
      </c>
      <c r="G277" s="48"/>
      <c r="I277" s="48"/>
    </row>
    <row r="278" spans="1:9" x14ac:dyDescent="0.25">
      <c r="G278" s="48" t="b">
        <v>0</v>
      </c>
      <c r="I278" s="48"/>
    </row>
    <row r="279" spans="1:9" x14ac:dyDescent="0.25">
      <c r="G279" s="48" t="b">
        <v>0</v>
      </c>
      <c r="I279" s="49">
        <f>IF(G278=TRUE,0,IF(G279=TRUE,1,IF(G280=TRUE,2,0)))</f>
        <v>0</v>
      </c>
    </row>
    <row r="280" spans="1:9" x14ac:dyDescent="0.25">
      <c r="G280" s="48" t="b">
        <v>0</v>
      </c>
      <c r="I280" s="48"/>
    </row>
    <row r="281" spans="1:9" x14ac:dyDescent="0.25">
      <c r="A281" s="7" t="s">
        <v>144</v>
      </c>
      <c r="G281" s="48"/>
      <c r="I281" s="48"/>
    </row>
    <row r="282" spans="1:9" x14ac:dyDescent="0.25">
      <c r="G282" s="48" t="b">
        <v>0</v>
      </c>
      <c r="I282" s="48"/>
    </row>
    <row r="283" spans="1:9" x14ac:dyDescent="0.25">
      <c r="G283" s="48" t="b">
        <v>0</v>
      </c>
      <c r="I283" s="49">
        <f>IF(G282=TRUE,2,IF(G283=TRUE,1,IF(G284=TRUE,0,0)))</f>
        <v>0</v>
      </c>
    </row>
    <row r="284" spans="1:9" x14ac:dyDescent="0.25">
      <c r="G284" s="48" t="b">
        <v>0</v>
      </c>
      <c r="I284" s="48"/>
    </row>
    <row r="285" spans="1:9" x14ac:dyDescent="0.25">
      <c r="A285" s="7" t="s">
        <v>145</v>
      </c>
      <c r="G285" s="48"/>
      <c r="I285" s="48"/>
    </row>
    <row r="286" spans="1:9" x14ac:dyDescent="0.25">
      <c r="G286" s="48" t="b">
        <v>0</v>
      </c>
      <c r="I286" s="48"/>
    </row>
    <row r="287" spans="1:9" x14ac:dyDescent="0.25">
      <c r="G287" s="48" t="b">
        <v>0</v>
      </c>
      <c r="I287" s="49">
        <f>IF(G286=TRUE,2,IF(G287=TRUE,1,IF(G288=TRUE,0,0)))</f>
        <v>0</v>
      </c>
    </row>
    <row r="288" spans="1:9" x14ac:dyDescent="0.25">
      <c r="G288" s="48" t="b">
        <v>0</v>
      </c>
      <c r="I288" s="48"/>
    </row>
    <row r="289" spans="1:9" x14ac:dyDescent="0.25">
      <c r="A289" s="7" t="s">
        <v>146</v>
      </c>
      <c r="G289" s="48"/>
      <c r="I289" s="48"/>
    </row>
    <row r="290" spans="1:9" x14ac:dyDescent="0.25">
      <c r="G290" s="48" t="b">
        <v>0</v>
      </c>
      <c r="I290" s="48"/>
    </row>
    <row r="291" spans="1:9" x14ac:dyDescent="0.25">
      <c r="G291" s="48" t="b">
        <v>0</v>
      </c>
      <c r="I291" s="49">
        <f>IF(G290=TRUE,2,IF(G291=TRUE,1,IF(G292=TRUE,0,0)))</f>
        <v>0</v>
      </c>
    </row>
    <row r="292" spans="1:9" x14ac:dyDescent="0.25">
      <c r="G292" s="48" t="b">
        <v>0</v>
      </c>
      <c r="I292" s="48"/>
    </row>
    <row r="293" spans="1:9" x14ac:dyDescent="0.25">
      <c r="A293" s="7" t="s">
        <v>147</v>
      </c>
      <c r="G293" s="48"/>
      <c r="I293" s="48"/>
    </row>
    <row r="294" spans="1:9" x14ac:dyDescent="0.25">
      <c r="G294" s="48" t="b">
        <v>0</v>
      </c>
      <c r="I294" s="48"/>
    </row>
    <row r="295" spans="1:9" x14ac:dyDescent="0.25">
      <c r="G295" s="48" t="b">
        <v>0</v>
      </c>
      <c r="I295" s="49">
        <f>IF(G294=TRUE,2,IF(G295=TRUE,1,IF(G296=TRUE,0,0)))</f>
        <v>0</v>
      </c>
    </row>
    <row r="296" spans="1:9" x14ac:dyDescent="0.25">
      <c r="G296" s="48" t="b">
        <v>0</v>
      </c>
      <c r="I296" s="48"/>
    </row>
    <row r="297" spans="1:9" x14ac:dyDescent="0.25">
      <c r="A297" s="7" t="s">
        <v>148</v>
      </c>
      <c r="G297" s="48"/>
      <c r="I297" s="48"/>
    </row>
    <row r="298" spans="1:9" x14ac:dyDescent="0.25">
      <c r="G298" s="48" t="b">
        <v>0</v>
      </c>
      <c r="I298" s="48"/>
    </row>
    <row r="299" spans="1:9" x14ac:dyDescent="0.25">
      <c r="G299" s="48" t="b">
        <v>0</v>
      </c>
      <c r="I299" s="49">
        <f>IF(G298=TRUE,2,IF(G299=TRUE,1,IF(G300=TRUE,0,0)))</f>
        <v>0</v>
      </c>
    </row>
    <row r="300" spans="1:9" x14ac:dyDescent="0.25">
      <c r="G300" s="48" t="b">
        <v>0</v>
      </c>
      <c r="I300" s="48"/>
    </row>
    <row r="301" spans="1:9" x14ac:dyDescent="0.25">
      <c r="A301" s="7" t="s">
        <v>149</v>
      </c>
      <c r="G301" s="48"/>
      <c r="I301" s="48"/>
    </row>
    <row r="302" spans="1:9" x14ac:dyDescent="0.25">
      <c r="G302" s="48" t="b">
        <v>0</v>
      </c>
      <c r="I302" s="48"/>
    </row>
    <row r="303" spans="1:9" x14ac:dyDescent="0.25">
      <c r="G303" s="48" t="b">
        <v>0</v>
      </c>
      <c r="I303" s="49">
        <f>IF(G302=TRUE,2,IF(G303=TRUE,1,IF(G304=TRUE,0,0)))</f>
        <v>0</v>
      </c>
    </row>
    <row r="304" spans="1:9" x14ac:dyDescent="0.25">
      <c r="G304" s="48" t="b">
        <v>0</v>
      </c>
      <c r="I304" s="48"/>
    </row>
    <row r="305" spans="1:9" x14ac:dyDescent="0.25">
      <c r="A305" s="7" t="s">
        <v>150</v>
      </c>
      <c r="G305" s="48"/>
      <c r="I305" s="48"/>
    </row>
    <row r="306" spans="1:9" x14ac:dyDescent="0.25">
      <c r="G306" s="48" t="b">
        <v>0</v>
      </c>
      <c r="I306" s="48"/>
    </row>
    <row r="307" spans="1:9" x14ac:dyDescent="0.25">
      <c r="G307" s="48" t="b">
        <v>0</v>
      </c>
      <c r="I307" s="49">
        <f>IF(G306=TRUE,0,IF(G307=TRUE,1,IF(G308=TRUE,2,0)))</f>
        <v>0</v>
      </c>
    </row>
    <row r="308" spans="1:9" x14ac:dyDescent="0.25">
      <c r="G308" s="48" t="b">
        <v>0</v>
      </c>
      <c r="I308" s="48"/>
    </row>
    <row r="309" spans="1:9" x14ac:dyDescent="0.25">
      <c r="A309" s="7" t="s">
        <v>151</v>
      </c>
      <c r="G309" s="48"/>
      <c r="I309" s="48"/>
    </row>
    <row r="310" spans="1:9" x14ac:dyDescent="0.25">
      <c r="G310" s="48" t="b">
        <v>0</v>
      </c>
      <c r="I310" s="48"/>
    </row>
    <row r="311" spans="1:9" x14ac:dyDescent="0.25">
      <c r="G311" s="48" t="b">
        <v>0</v>
      </c>
      <c r="I311" s="49">
        <f>IF(G310=TRUE,0,IF(G311=TRUE,1,IF(G312=TRUE,2,0)))</f>
        <v>0</v>
      </c>
    </row>
    <row r="312" spans="1:9" x14ac:dyDescent="0.25">
      <c r="G312" s="48" t="b">
        <v>0</v>
      </c>
      <c r="I312" s="48"/>
    </row>
    <row r="313" spans="1:9" x14ac:dyDescent="0.25">
      <c r="A313" s="7" t="s">
        <v>152</v>
      </c>
      <c r="G313" s="48"/>
      <c r="I313" s="48"/>
    </row>
    <row r="314" spans="1:9" x14ac:dyDescent="0.25">
      <c r="G314" s="48" t="b">
        <v>0</v>
      </c>
      <c r="I314" s="48"/>
    </row>
    <row r="315" spans="1:9" x14ac:dyDescent="0.25">
      <c r="G315" s="48" t="b">
        <v>0</v>
      </c>
      <c r="I315" s="49">
        <f>IF(G314=TRUE,0,IF(G315=TRUE,0,IF(G316=TRUE,1,0)))</f>
        <v>0</v>
      </c>
    </row>
    <row r="316" spans="1:9" x14ac:dyDescent="0.25">
      <c r="G316" s="48" t="b">
        <v>0</v>
      </c>
      <c r="I316" s="49"/>
    </row>
    <row r="317" spans="1:9" x14ac:dyDescent="0.25">
      <c r="A317" s="7" t="s">
        <v>153</v>
      </c>
      <c r="G317" s="48"/>
      <c r="I317" s="48"/>
    </row>
    <row r="318" spans="1:9" x14ac:dyDescent="0.25">
      <c r="G318" s="48" t="b">
        <v>0</v>
      </c>
      <c r="I318" s="48"/>
    </row>
    <row r="319" spans="1:9" x14ac:dyDescent="0.25">
      <c r="G319" s="48" t="b">
        <v>0</v>
      </c>
      <c r="I319" s="49">
        <f>IF(G318=TRUE,0,IF(G319=TRUE,1,IF(G320=TRUE,0,0)))</f>
        <v>0</v>
      </c>
    </row>
    <row r="320" spans="1:9" x14ac:dyDescent="0.25">
      <c r="G320" s="48" t="b">
        <v>0</v>
      </c>
      <c r="I320" s="48"/>
    </row>
    <row r="321" spans="1:9" x14ac:dyDescent="0.25">
      <c r="A321" s="7" t="s">
        <v>154</v>
      </c>
      <c r="G321" s="48"/>
      <c r="I321" s="48"/>
    </row>
    <row r="322" spans="1:9" x14ac:dyDescent="0.25">
      <c r="G322" s="48" t="b">
        <v>0</v>
      </c>
      <c r="I322" s="48"/>
    </row>
    <row r="323" spans="1:9" x14ac:dyDescent="0.25">
      <c r="G323" s="48" t="b">
        <v>0</v>
      </c>
      <c r="I323" s="49">
        <f>IF(G322=TRUE,0,IF(G323=TRUE,1,IF(G324=TRUE,2,0)))</f>
        <v>0</v>
      </c>
    </row>
    <row r="324" spans="1:9" x14ac:dyDescent="0.25">
      <c r="G324" s="48" t="b">
        <v>0</v>
      </c>
      <c r="I324" s="48"/>
    </row>
    <row r="325" spans="1:9" x14ac:dyDescent="0.25">
      <c r="A325" s="7" t="s">
        <v>155</v>
      </c>
      <c r="G325" s="48"/>
      <c r="I325" s="48"/>
    </row>
    <row r="326" spans="1:9" x14ac:dyDescent="0.25">
      <c r="G326" s="48" t="b">
        <v>0</v>
      </c>
      <c r="I326" s="48"/>
    </row>
    <row r="327" spans="1:9" x14ac:dyDescent="0.25">
      <c r="G327" s="48" t="b">
        <v>0</v>
      </c>
      <c r="I327" s="49">
        <f>IF(G326=TRUE,0,IF(G327=TRUE,1,IF(G328=TRUE,2,0)))</f>
        <v>0</v>
      </c>
    </row>
    <row r="328" spans="1:9" x14ac:dyDescent="0.25">
      <c r="G328" s="48" t="b">
        <v>0</v>
      </c>
      <c r="I328" s="48"/>
    </row>
    <row r="329" spans="1:9" x14ac:dyDescent="0.25">
      <c r="A329" s="7" t="s">
        <v>156</v>
      </c>
      <c r="G329" s="48"/>
      <c r="I329" s="48"/>
    </row>
    <row r="330" spans="1:9" x14ac:dyDescent="0.25">
      <c r="G330" s="48" t="b">
        <v>0</v>
      </c>
      <c r="I330" s="48"/>
    </row>
    <row r="331" spans="1:9" x14ac:dyDescent="0.25">
      <c r="G331" s="48" t="b">
        <v>0</v>
      </c>
      <c r="I331" s="49">
        <f>IF(G330=TRUE,0,IF(G331=TRUE,1,IF(G332=TRUE,2,0)))</f>
        <v>0</v>
      </c>
    </row>
    <row r="332" spans="1:9" x14ac:dyDescent="0.25">
      <c r="G332" s="48" t="b">
        <v>0</v>
      </c>
      <c r="I332" s="48"/>
    </row>
    <row r="333" spans="1:9" x14ac:dyDescent="0.25">
      <c r="A333" s="7" t="s">
        <v>157</v>
      </c>
      <c r="G333" s="48"/>
      <c r="I333" s="48"/>
    </row>
    <row r="334" spans="1:9" x14ac:dyDescent="0.25">
      <c r="G334" s="48" t="b">
        <v>0</v>
      </c>
      <c r="I334" s="48"/>
    </row>
    <row r="335" spans="1:9" x14ac:dyDescent="0.25">
      <c r="G335" s="48" t="b">
        <v>0</v>
      </c>
      <c r="I335" s="49">
        <f>IF(G334=TRUE,0,IF(G335=TRUE,1,IF(G336=TRUE,2,0)))</f>
        <v>0</v>
      </c>
    </row>
    <row r="336" spans="1:9" x14ac:dyDescent="0.25">
      <c r="G336" s="48" t="b">
        <v>0</v>
      </c>
      <c r="I336" s="48"/>
    </row>
    <row r="337" spans="1:9" x14ac:dyDescent="0.25">
      <c r="A337" s="7" t="s">
        <v>158</v>
      </c>
      <c r="G337" s="48"/>
      <c r="I337" s="48"/>
    </row>
    <row r="338" spans="1:9" x14ac:dyDescent="0.25">
      <c r="G338" s="48" t="b">
        <v>0</v>
      </c>
      <c r="I338" s="48"/>
    </row>
    <row r="339" spans="1:9" x14ac:dyDescent="0.25">
      <c r="G339" s="48" t="b">
        <v>0</v>
      </c>
      <c r="I339" s="49">
        <f>IF(G338=TRUE,2,IF(G339=TRUE,1,IF(G340=TRUE,0,0)))</f>
        <v>0</v>
      </c>
    </row>
    <row r="340" spans="1:9" x14ac:dyDescent="0.25">
      <c r="G340" s="48" t="b">
        <v>0</v>
      </c>
      <c r="I340" s="48"/>
    </row>
    <row r="341" spans="1:9" x14ac:dyDescent="0.25">
      <c r="A341" s="7" t="s">
        <v>159</v>
      </c>
      <c r="G341" s="48"/>
      <c r="I341" s="48"/>
    </row>
    <row r="342" spans="1:9" x14ac:dyDescent="0.25">
      <c r="G342" s="48" t="b">
        <v>0</v>
      </c>
      <c r="I342" s="48"/>
    </row>
    <row r="343" spans="1:9" x14ac:dyDescent="0.25">
      <c r="G343" s="48" t="b">
        <v>0</v>
      </c>
      <c r="I343" s="49">
        <f>IF(G342=TRUE,0,IF(G343=TRUE,1,IF(G344=TRUE,2,0)))</f>
        <v>0</v>
      </c>
    </row>
    <row r="344" spans="1:9" x14ac:dyDescent="0.25">
      <c r="G344" s="48" t="b">
        <v>0</v>
      </c>
      <c r="I344" s="48"/>
    </row>
    <row r="345" spans="1:9" x14ac:dyDescent="0.25">
      <c r="A345" s="7" t="s">
        <v>160</v>
      </c>
      <c r="G345" s="48"/>
      <c r="I345" s="48"/>
    </row>
    <row r="346" spans="1:9" x14ac:dyDescent="0.25">
      <c r="G346" s="48" t="b">
        <v>0</v>
      </c>
      <c r="I346" s="48"/>
    </row>
    <row r="347" spans="1:9" x14ac:dyDescent="0.25">
      <c r="G347" s="48" t="b">
        <v>0</v>
      </c>
      <c r="I347" s="49">
        <f>IF(G346=TRUE,0,IF(G347=TRUE,1,IF(G348=TRUE,2,0)))</f>
        <v>0</v>
      </c>
    </row>
    <row r="348" spans="1:9" x14ac:dyDescent="0.25">
      <c r="G348" s="48" t="b">
        <v>0</v>
      </c>
      <c r="I348" s="48"/>
    </row>
    <row r="349" spans="1:9" x14ac:dyDescent="0.25">
      <c r="A349" s="7" t="s">
        <v>161</v>
      </c>
      <c r="G349" s="48"/>
      <c r="I349" s="48"/>
    </row>
    <row r="350" spans="1:9" x14ac:dyDescent="0.25">
      <c r="G350" s="48" t="b">
        <v>0</v>
      </c>
      <c r="I350" s="48"/>
    </row>
    <row r="351" spans="1:9" x14ac:dyDescent="0.25">
      <c r="G351" s="48" t="b">
        <v>0</v>
      </c>
      <c r="I351" s="49">
        <f>IF(G350=TRUE,0,IF(G351=TRUE,1,IF(G352=TRUE,2,0)))</f>
        <v>0</v>
      </c>
    </row>
    <row r="352" spans="1:9" x14ac:dyDescent="0.25">
      <c r="G352" s="48" t="b">
        <v>0</v>
      </c>
      <c r="I352" s="48"/>
    </row>
    <row r="353" spans="1:9" x14ac:dyDescent="0.25">
      <c r="A353" s="7" t="s">
        <v>162</v>
      </c>
      <c r="G353" s="48"/>
      <c r="I353" s="48"/>
    </row>
    <row r="354" spans="1:9" x14ac:dyDescent="0.25">
      <c r="G354" s="48" t="b">
        <v>0</v>
      </c>
      <c r="I354" s="48"/>
    </row>
    <row r="355" spans="1:9" x14ac:dyDescent="0.25">
      <c r="G355" s="48" t="b">
        <v>0</v>
      </c>
      <c r="I355" s="49">
        <f>IF(G354=TRUE,0,IF(G355=TRUE,1,IF(G356=TRUE,2,0)))</f>
        <v>0</v>
      </c>
    </row>
    <row r="356" spans="1:9" x14ac:dyDescent="0.25">
      <c r="G356" s="48" t="b">
        <v>0</v>
      </c>
      <c r="I356" s="48"/>
    </row>
    <row r="357" spans="1:9" x14ac:dyDescent="0.25">
      <c r="A357" s="7" t="s">
        <v>163</v>
      </c>
      <c r="G357" s="48"/>
      <c r="I357" s="48"/>
    </row>
    <row r="358" spans="1:9" x14ac:dyDescent="0.25">
      <c r="G358" s="48" t="b">
        <v>0</v>
      </c>
      <c r="I358" s="48"/>
    </row>
    <row r="359" spans="1:9" x14ac:dyDescent="0.25">
      <c r="G359" s="48" t="b">
        <v>0</v>
      </c>
      <c r="I359" s="49">
        <f>IF(G358=TRUE,2,IF(G359=TRUE,1,IF(G360=TRUE,0,0)))</f>
        <v>0</v>
      </c>
    </row>
    <row r="360" spans="1:9" x14ac:dyDescent="0.25">
      <c r="G360" s="48" t="b">
        <v>0</v>
      </c>
      <c r="I360" s="48"/>
    </row>
    <row r="361" spans="1:9" x14ac:dyDescent="0.25">
      <c r="A361" s="7" t="s">
        <v>164</v>
      </c>
      <c r="G361" s="48"/>
      <c r="I361" s="48"/>
    </row>
    <row r="362" spans="1:9" x14ac:dyDescent="0.25">
      <c r="G362" s="48" t="b">
        <v>0</v>
      </c>
      <c r="I362" s="48"/>
    </row>
    <row r="363" spans="1:9" x14ac:dyDescent="0.25">
      <c r="G363" s="48" t="b">
        <v>0</v>
      </c>
      <c r="I363" s="49">
        <f>IF(G362=TRUE,0,IF(G363=TRUE,1,IF(G364=TRUE,2,0)))</f>
        <v>0</v>
      </c>
    </row>
    <row r="364" spans="1:9" x14ac:dyDescent="0.25">
      <c r="G364" s="48" t="b">
        <v>0</v>
      </c>
      <c r="I364" s="48"/>
    </row>
    <row r="365" spans="1:9" x14ac:dyDescent="0.25">
      <c r="A365" s="7" t="s">
        <v>165</v>
      </c>
      <c r="G365" s="48"/>
      <c r="I365" s="48"/>
    </row>
    <row r="366" spans="1:9" x14ac:dyDescent="0.25">
      <c r="G366" s="48" t="b">
        <v>0</v>
      </c>
      <c r="I366" s="48"/>
    </row>
    <row r="367" spans="1:9" x14ac:dyDescent="0.25">
      <c r="G367" s="48" t="b">
        <v>0</v>
      </c>
      <c r="I367" s="49">
        <f>IF(G366=TRUE,0,IF(G367=TRUE,1,IF(G368=TRUE,2,0)))</f>
        <v>0</v>
      </c>
    </row>
    <row r="368" spans="1:9" x14ac:dyDescent="0.25">
      <c r="G368" s="48" t="b">
        <v>0</v>
      </c>
      <c r="I368" s="48"/>
    </row>
    <row r="369" spans="1:9" x14ac:dyDescent="0.25">
      <c r="A369" s="7" t="s">
        <v>166</v>
      </c>
      <c r="G369" s="48"/>
      <c r="I369" s="48"/>
    </row>
    <row r="370" spans="1:9" x14ac:dyDescent="0.25">
      <c r="G370" s="48" t="b">
        <v>0</v>
      </c>
      <c r="I370" s="48"/>
    </row>
    <row r="371" spans="1:9" x14ac:dyDescent="0.25">
      <c r="G371" s="48" t="b">
        <v>0</v>
      </c>
      <c r="I371" s="49">
        <f>IF(G370=TRUE,2,IF(G371=TRUE,1,IF(G372=TRUE,0,0)))</f>
        <v>0</v>
      </c>
    </row>
    <row r="372" spans="1:9" x14ac:dyDescent="0.25">
      <c r="G372" s="48" t="b">
        <v>0</v>
      </c>
      <c r="I372" s="48"/>
    </row>
    <row r="373" spans="1:9" x14ac:dyDescent="0.25">
      <c r="A373" s="7" t="s">
        <v>167</v>
      </c>
      <c r="G373" s="48"/>
      <c r="I373" s="48"/>
    </row>
    <row r="374" spans="1:9" x14ac:dyDescent="0.25">
      <c r="G374" s="48" t="b">
        <v>0</v>
      </c>
      <c r="I374" s="48"/>
    </row>
    <row r="375" spans="1:9" x14ac:dyDescent="0.25">
      <c r="G375" s="48" t="b">
        <v>0</v>
      </c>
      <c r="I375" s="49">
        <f>IF(G374=TRUE,0,IF(G375=TRUE,1,IF(G376=TRUE,2,0)))</f>
        <v>0</v>
      </c>
    </row>
    <row r="376" spans="1:9" x14ac:dyDescent="0.25">
      <c r="G376" s="48" t="b">
        <v>0</v>
      </c>
      <c r="I376" s="48"/>
    </row>
    <row r="377" spans="1:9" x14ac:dyDescent="0.25">
      <c r="A377" s="7" t="s">
        <v>168</v>
      </c>
      <c r="G377" s="48"/>
      <c r="I377" s="48"/>
    </row>
    <row r="378" spans="1:9" x14ac:dyDescent="0.25">
      <c r="G378" s="48" t="b">
        <v>0</v>
      </c>
      <c r="I378" s="48"/>
    </row>
    <row r="379" spans="1:9" x14ac:dyDescent="0.25">
      <c r="G379" s="48" t="b">
        <v>0</v>
      </c>
      <c r="I379" s="49">
        <f>IF(G378=TRUE,0,IF(G379=TRUE,1,IF(G380=TRUE,2,0)))</f>
        <v>0</v>
      </c>
    </row>
    <row r="380" spans="1:9" x14ac:dyDescent="0.25">
      <c r="G380" s="48" t="b">
        <v>0</v>
      </c>
      <c r="I380" s="48"/>
    </row>
    <row r="381" spans="1:9" x14ac:dyDescent="0.25">
      <c r="A381" s="7" t="s">
        <v>169</v>
      </c>
      <c r="G381" s="48"/>
      <c r="I381" s="48"/>
    </row>
    <row r="382" spans="1:9" x14ac:dyDescent="0.25">
      <c r="G382" s="48" t="b">
        <v>0</v>
      </c>
      <c r="I382" s="48"/>
    </row>
    <row r="383" spans="1:9" x14ac:dyDescent="0.25">
      <c r="G383" s="48" t="b">
        <v>0</v>
      </c>
      <c r="I383" s="49">
        <f>IF(G382=TRUE,2,IF(G383=TRUE,1,IF(G384=TRUE,1,0)))</f>
        <v>0</v>
      </c>
    </row>
    <row r="384" spans="1:9" x14ac:dyDescent="0.25">
      <c r="G384" s="48" t="b">
        <v>0</v>
      </c>
      <c r="I384" s="48"/>
    </row>
    <row r="385" spans="1:9" x14ac:dyDescent="0.25">
      <c r="A385" s="7" t="s">
        <v>170</v>
      </c>
      <c r="G385" s="48"/>
      <c r="I385" s="48"/>
    </row>
    <row r="386" spans="1:9" x14ac:dyDescent="0.25">
      <c r="G386" s="48" t="b">
        <v>0</v>
      </c>
      <c r="I386" s="48"/>
    </row>
    <row r="387" spans="1:9" x14ac:dyDescent="0.25">
      <c r="G387" s="48" t="b">
        <v>0</v>
      </c>
      <c r="I387" s="49">
        <f>IF(G386=TRUE,0,IF(G387=TRUE,1,IF(G388=TRUE,2,0)))</f>
        <v>0</v>
      </c>
    </row>
    <row r="388" spans="1:9" x14ac:dyDescent="0.25">
      <c r="G388" s="48" t="b">
        <v>0</v>
      </c>
      <c r="I388" s="48"/>
    </row>
    <row r="389" spans="1:9" x14ac:dyDescent="0.25">
      <c r="A389" s="7" t="s">
        <v>171</v>
      </c>
      <c r="G389" s="48"/>
      <c r="I389" s="48"/>
    </row>
    <row r="390" spans="1:9" x14ac:dyDescent="0.25">
      <c r="G390" s="48" t="b">
        <v>0</v>
      </c>
      <c r="I390" s="48"/>
    </row>
    <row r="391" spans="1:9" x14ac:dyDescent="0.25">
      <c r="G391" s="48" t="b">
        <v>0</v>
      </c>
      <c r="I391" s="49">
        <f>IF(G390=TRUE,0,IF(G391=TRUE,1,IF(G392=TRUE,2,0)))</f>
        <v>0</v>
      </c>
    </row>
    <row r="392" spans="1:9" x14ac:dyDescent="0.25">
      <c r="G392" s="48" t="b">
        <v>0</v>
      </c>
      <c r="I392" s="48"/>
    </row>
    <row r="393" spans="1:9" x14ac:dyDescent="0.25">
      <c r="A393" s="7" t="s">
        <v>172</v>
      </c>
      <c r="G393" s="48"/>
      <c r="I393" s="48"/>
    </row>
    <row r="394" spans="1:9" x14ac:dyDescent="0.25">
      <c r="G394" s="48" t="b">
        <v>0</v>
      </c>
      <c r="I394" s="48"/>
    </row>
    <row r="395" spans="1:9" x14ac:dyDescent="0.25">
      <c r="G395" s="48" t="b">
        <v>0</v>
      </c>
      <c r="I395" s="49">
        <f>IF(G394=TRUE,0,IF(G395=TRUE,1,IF(G396=TRUE,2,0)))</f>
        <v>0</v>
      </c>
    </row>
    <row r="396" spans="1:9" x14ac:dyDescent="0.25">
      <c r="G396" s="48" t="b">
        <v>0</v>
      </c>
      <c r="I396" s="48"/>
    </row>
    <row r="397" spans="1:9" x14ac:dyDescent="0.25">
      <c r="A397" s="7" t="s">
        <v>173</v>
      </c>
      <c r="G397" s="48"/>
      <c r="I397" s="48"/>
    </row>
    <row r="398" spans="1:9" x14ac:dyDescent="0.25">
      <c r="G398" s="48" t="b">
        <v>0</v>
      </c>
      <c r="I398" s="48"/>
    </row>
    <row r="399" spans="1:9" x14ac:dyDescent="0.25">
      <c r="G399" s="48" t="b">
        <v>0</v>
      </c>
      <c r="I399" s="49">
        <f>IF(G398=TRUE,2,IF(G399=TRUE,1,IF(G400=TRUE,0,0)))</f>
        <v>0</v>
      </c>
    </row>
    <row r="400" spans="1:9" x14ac:dyDescent="0.25">
      <c r="G400" s="48" t="b">
        <v>0</v>
      </c>
      <c r="I400" s="48"/>
    </row>
    <row r="401" spans="1:9" x14ac:dyDescent="0.25">
      <c r="A401" s="7" t="s">
        <v>174</v>
      </c>
      <c r="G401" s="48"/>
      <c r="I401" s="48"/>
    </row>
    <row r="402" spans="1:9" x14ac:dyDescent="0.25">
      <c r="G402" s="48" t="b">
        <v>0</v>
      </c>
      <c r="I402" s="48"/>
    </row>
    <row r="403" spans="1:9" x14ac:dyDescent="0.25">
      <c r="G403" s="48" t="b">
        <v>0</v>
      </c>
      <c r="I403" s="49">
        <f>IF(G402=TRUE,2,IF(G403=TRUE,1,IF(G404=TRUE,0,0)))</f>
        <v>0</v>
      </c>
    </row>
    <row r="404" spans="1:9" x14ac:dyDescent="0.25">
      <c r="G404" s="48" t="b">
        <v>0</v>
      </c>
      <c r="I404" s="48"/>
    </row>
    <row r="405" spans="1:9" x14ac:dyDescent="0.25">
      <c r="A405" s="7" t="s">
        <v>175</v>
      </c>
      <c r="G405" s="48"/>
      <c r="I405" s="48"/>
    </row>
    <row r="406" spans="1:9" x14ac:dyDescent="0.25">
      <c r="G406" s="48" t="b">
        <v>0</v>
      </c>
      <c r="I406" s="48"/>
    </row>
    <row r="407" spans="1:9" x14ac:dyDescent="0.25">
      <c r="G407" s="48" t="b">
        <v>0</v>
      </c>
      <c r="I407" s="49">
        <f>IF(G406=TRUE,0,IF(G407=TRUE,1,IF(G408=TRUE,2,0)))</f>
        <v>0</v>
      </c>
    </row>
    <row r="408" spans="1:9" x14ac:dyDescent="0.25">
      <c r="G408" s="48" t="b">
        <v>0</v>
      </c>
      <c r="I408" s="48"/>
    </row>
    <row r="409" spans="1:9" x14ac:dyDescent="0.25">
      <c r="A409" s="7" t="s">
        <v>176</v>
      </c>
      <c r="G409" s="48"/>
      <c r="I409" s="48"/>
    </row>
    <row r="410" spans="1:9" x14ac:dyDescent="0.25">
      <c r="G410" s="48" t="b">
        <v>0</v>
      </c>
      <c r="I410" s="48"/>
    </row>
    <row r="411" spans="1:9" x14ac:dyDescent="0.25">
      <c r="G411" s="48" t="b">
        <v>0</v>
      </c>
      <c r="I411" s="49">
        <f>IF(G410=TRUE,2,IF(G411=TRUE,1,IF(G412=TRUE,0,0)))</f>
        <v>0</v>
      </c>
    </row>
    <row r="412" spans="1:9" x14ac:dyDescent="0.25">
      <c r="G412" s="48" t="b">
        <v>0</v>
      </c>
      <c r="I412" s="48"/>
    </row>
    <row r="413" spans="1:9" x14ac:dyDescent="0.25">
      <c r="A413" s="7" t="s">
        <v>177</v>
      </c>
      <c r="G413" s="48"/>
      <c r="I413" s="48"/>
    </row>
    <row r="414" spans="1:9" x14ac:dyDescent="0.25">
      <c r="G414" s="48" t="b">
        <v>0</v>
      </c>
      <c r="I414" s="48"/>
    </row>
    <row r="415" spans="1:9" x14ac:dyDescent="0.25">
      <c r="G415" s="48" t="b">
        <v>0</v>
      </c>
      <c r="I415" s="49">
        <f>IF(G414=TRUE,0,IF(G415=TRUE,0,IF(G416=TRUE,1,0)))</f>
        <v>0</v>
      </c>
    </row>
    <row r="416" spans="1:9" x14ac:dyDescent="0.25">
      <c r="G416" s="48" t="b">
        <v>0</v>
      </c>
      <c r="I416" s="48"/>
    </row>
    <row r="417" spans="1:9" x14ac:dyDescent="0.25">
      <c r="A417" s="7" t="s">
        <v>263</v>
      </c>
      <c r="G417" s="48"/>
      <c r="I417" s="48"/>
    </row>
    <row r="418" spans="1:9" x14ac:dyDescent="0.25">
      <c r="G418" s="48" t="b">
        <v>0</v>
      </c>
      <c r="I418" s="48"/>
    </row>
    <row r="419" spans="1:9" x14ac:dyDescent="0.25">
      <c r="G419" s="48" t="b">
        <v>0</v>
      </c>
      <c r="I419" s="49">
        <f>IF(G418=TRUE,0,IF(G419=TRUE,1,IF(G420=TRUE,0,0)))</f>
        <v>0</v>
      </c>
    </row>
    <row r="420" spans="1:9" x14ac:dyDescent="0.25">
      <c r="G420" s="48" t="b">
        <v>0</v>
      </c>
      <c r="I420" s="48"/>
    </row>
    <row r="421" spans="1:9" x14ac:dyDescent="0.25">
      <c r="A421" s="7" t="s">
        <v>178</v>
      </c>
      <c r="G421" s="48"/>
      <c r="I421" s="48"/>
    </row>
    <row r="422" spans="1:9" x14ac:dyDescent="0.25">
      <c r="G422" s="48" t="b">
        <v>0</v>
      </c>
      <c r="I422" s="48"/>
    </row>
    <row r="423" spans="1:9" x14ac:dyDescent="0.25">
      <c r="G423" s="48" t="b">
        <v>0</v>
      </c>
      <c r="I423" s="49">
        <f>IF(G422=TRUE,2,IF(G423=TRUE,1,IF(G424=TRUE,0,0)))</f>
        <v>0</v>
      </c>
    </row>
    <row r="424" spans="1:9" x14ac:dyDescent="0.25">
      <c r="G424" s="48" t="b">
        <v>0</v>
      </c>
      <c r="I424" s="48"/>
    </row>
    <row r="425" spans="1:9" x14ac:dyDescent="0.25">
      <c r="A425" s="7" t="s">
        <v>179</v>
      </c>
      <c r="G425" s="48"/>
      <c r="I425" s="48"/>
    </row>
    <row r="426" spans="1:9" x14ac:dyDescent="0.25">
      <c r="G426" s="48" t="b">
        <v>0</v>
      </c>
      <c r="I426" s="48"/>
    </row>
    <row r="427" spans="1:9" x14ac:dyDescent="0.25">
      <c r="G427" s="48" t="b">
        <v>0</v>
      </c>
      <c r="I427" s="49">
        <f>IF(G426=TRUE,2,IF(G427=TRUE,1,IF(G428=TRUE,0,0)))</f>
        <v>0</v>
      </c>
    </row>
    <row r="428" spans="1:9" x14ac:dyDescent="0.25">
      <c r="G428" s="48" t="b">
        <v>0</v>
      </c>
      <c r="I428" s="48"/>
    </row>
    <row r="429" spans="1:9" x14ac:dyDescent="0.25">
      <c r="A429" s="7" t="s">
        <v>180</v>
      </c>
      <c r="G429" s="48"/>
      <c r="I429" s="48"/>
    </row>
    <row r="430" spans="1:9" x14ac:dyDescent="0.25">
      <c r="G430" s="48" t="b">
        <v>0</v>
      </c>
      <c r="I430" s="48"/>
    </row>
    <row r="431" spans="1:9" x14ac:dyDescent="0.25">
      <c r="G431" s="48" t="b">
        <v>0</v>
      </c>
      <c r="I431" s="49">
        <f>IF(G430=TRUE,0,IF(G431=TRUE,1,IF(G432=TRUE,2,0)))</f>
        <v>0</v>
      </c>
    </row>
    <row r="432" spans="1:9" x14ac:dyDescent="0.25">
      <c r="G432" s="48" t="b">
        <v>0</v>
      </c>
      <c r="I432" s="48"/>
    </row>
    <row r="433" spans="1:9" x14ac:dyDescent="0.25">
      <c r="A433" s="7" t="s">
        <v>181</v>
      </c>
      <c r="G433" s="48"/>
      <c r="I433" s="48"/>
    </row>
    <row r="434" spans="1:9" x14ac:dyDescent="0.25">
      <c r="G434" s="48" t="b">
        <v>0</v>
      </c>
      <c r="I434" s="48"/>
    </row>
    <row r="435" spans="1:9" x14ac:dyDescent="0.25">
      <c r="G435" s="48" t="b">
        <v>0</v>
      </c>
      <c r="I435" s="49">
        <f>IF(G434=TRUE,0,IF(G435=TRUE,1,IF(G436=TRUE,2,0)))</f>
        <v>0</v>
      </c>
    </row>
    <row r="436" spans="1:9" x14ac:dyDescent="0.25">
      <c r="G436" s="48" t="b">
        <v>0</v>
      </c>
      <c r="I436" s="48"/>
    </row>
    <row r="437" spans="1:9" x14ac:dyDescent="0.25">
      <c r="A437" s="7" t="s">
        <v>182</v>
      </c>
      <c r="G437" s="48"/>
      <c r="I437" s="48"/>
    </row>
    <row r="438" spans="1:9" x14ac:dyDescent="0.25">
      <c r="G438" s="48" t="b">
        <v>0</v>
      </c>
      <c r="I438" s="48"/>
    </row>
    <row r="439" spans="1:9" x14ac:dyDescent="0.25">
      <c r="G439" s="48" t="b">
        <v>0</v>
      </c>
      <c r="I439" s="49">
        <f>IF(G438=TRUE,0,IF(G439=TRUE,1,IF(G440=TRUE,2,0)))</f>
        <v>0</v>
      </c>
    </row>
    <row r="440" spans="1:9" x14ac:dyDescent="0.25">
      <c r="G440" s="48" t="b">
        <v>0</v>
      </c>
      <c r="I440" s="48"/>
    </row>
    <row r="441" spans="1:9" x14ac:dyDescent="0.25">
      <c r="A441" s="7" t="s">
        <v>183</v>
      </c>
      <c r="G441" s="48"/>
      <c r="I441" s="48"/>
    </row>
    <row r="442" spans="1:9" x14ac:dyDescent="0.25">
      <c r="G442" s="48" t="b">
        <v>0</v>
      </c>
      <c r="I442" s="48"/>
    </row>
    <row r="443" spans="1:9" x14ac:dyDescent="0.25">
      <c r="G443" s="48" t="b">
        <v>0</v>
      </c>
      <c r="I443" s="49">
        <f>IF(G442=TRUE,2,IF(G443=TRUE,1,IF(G444=TRUE,0,0)))</f>
        <v>0</v>
      </c>
    </row>
    <row r="444" spans="1:9" x14ac:dyDescent="0.25">
      <c r="G444" s="48" t="b">
        <v>0</v>
      </c>
      <c r="I444" s="48"/>
    </row>
    <row r="445" spans="1:9" x14ac:dyDescent="0.25">
      <c r="A445" s="7" t="s">
        <v>184</v>
      </c>
      <c r="G445" s="48"/>
      <c r="I445" s="48"/>
    </row>
    <row r="446" spans="1:9" x14ac:dyDescent="0.25">
      <c r="G446" s="48" t="b">
        <v>0</v>
      </c>
      <c r="I446" s="48"/>
    </row>
    <row r="447" spans="1:9" x14ac:dyDescent="0.25">
      <c r="G447" s="48" t="b">
        <v>0</v>
      </c>
      <c r="I447" s="49">
        <f>IF(G446=TRUE,2,IF(G447=TRUE,1,IF(G448=TRUE,0,0)))</f>
        <v>0</v>
      </c>
    </row>
    <row r="448" spans="1:9" x14ac:dyDescent="0.25">
      <c r="G448" s="48" t="b">
        <v>0</v>
      </c>
      <c r="I448" s="48"/>
    </row>
    <row r="449" spans="1:9" x14ac:dyDescent="0.25">
      <c r="A449" s="7" t="s">
        <v>185</v>
      </c>
      <c r="G449" s="48"/>
      <c r="I449" s="48"/>
    </row>
    <row r="450" spans="1:9" x14ac:dyDescent="0.25">
      <c r="G450" s="48" t="b">
        <v>0</v>
      </c>
      <c r="I450" s="48"/>
    </row>
    <row r="451" spans="1:9" x14ac:dyDescent="0.25">
      <c r="G451" s="48" t="b">
        <v>0</v>
      </c>
      <c r="I451" s="49">
        <f>IF(G450=TRUE,2,IF(G451=TRUE,1,IF(G452=TRUE,0,0)))</f>
        <v>0</v>
      </c>
    </row>
    <row r="452" spans="1:9" x14ac:dyDescent="0.25">
      <c r="G452" s="48" t="b">
        <v>0</v>
      </c>
      <c r="I452" s="48"/>
    </row>
    <row r="453" spans="1:9" x14ac:dyDescent="0.25">
      <c r="A453" s="7" t="s">
        <v>186</v>
      </c>
      <c r="G453" s="48"/>
      <c r="I453" s="48"/>
    </row>
    <row r="454" spans="1:9" x14ac:dyDescent="0.25">
      <c r="G454" s="48" t="b">
        <v>0</v>
      </c>
      <c r="I454" s="48"/>
    </row>
    <row r="455" spans="1:9" x14ac:dyDescent="0.25">
      <c r="G455" s="48" t="b">
        <v>0</v>
      </c>
      <c r="I455" s="49">
        <f>IF(G454=TRUE,2,IF(G455=TRUE,1,IF(G456=TRUE,0,0)))</f>
        <v>0</v>
      </c>
    </row>
    <row r="456" spans="1:9" x14ac:dyDescent="0.25">
      <c r="G456" s="48" t="b">
        <v>0</v>
      </c>
      <c r="I456" s="48"/>
    </row>
    <row r="457" spans="1:9" x14ac:dyDescent="0.25">
      <c r="A457" s="7" t="s">
        <v>187</v>
      </c>
      <c r="G457" s="48"/>
      <c r="I457" s="48"/>
    </row>
    <row r="458" spans="1:9" x14ac:dyDescent="0.25">
      <c r="G458" s="48" t="b">
        <v>0</v>
      </c>
      <c r="I458" s="48"/>
    </row>
    <row r="459" spans="1:9" x14ac:dyDescent="0.25">
      <c r="G459" s="48" t="b">
        <v>0</v>
      </c>
      <c r="I459" s="49">
        <f>IF(G458=TRUE,2,IF(G459=TRUE,1,IF(G460=TRUE,0,0)))</f>
        <v>0</v>
      </c>
    </row>
    <row r="460" spans="1:9" x14ac:dyDescent="0.25">
      <c r="G460" s="48" t="b">
        <v>0</v>
      </c>
      <c r="I460" s="48"/>
    </row>
    <row r="461" spans="1:9" x14ac:dyDescent="0.25">
      <c r="A461" s="7" t="s">
        <v>188</v>
      </c>
      <c r="G461" s="48"/>
      <c r="I461" s="48"/>
    </row>
    <row r="462" spans="1:9" x14ac:dyDescent="0.25">
      <c r="G462" s="48" t="b">
        <v>0</v>
      </c>
      <c r="I462" s="48"/>
    </row>
    <row r="463" spans="1:9" x14ac:dyDescent="0.25">
      <c r="G463" s="48" t="b">
        <v>0</v>
      </c>
      <c r="I463" s="49">
        <f>IF(G462=TRUE,2,IF(G463=TRUE,1,IF(G464=TRUE,0,0)))</f>
        <v>0</v>
      </c>
    </row>
    <row r="464" spans="1:9" x14ac:dyDescent="0.25">
      <c r="G464" s="48" t="b">
        <v>0</v>
      </c>
      <c r="I464" s="48"/>
    </row>
    <row r="465" spans="1:9" x14ac:dyDescent="0.25">
      <c r="A465" s="7" t="s">
        <v>189</v>
      </c>
      <c r="G465" s="48"/>
      <c r="I465" s="48"/>
    </row>
    <row r="466" spans="1:9" x14ac:dyDescent="0.25">
      <c r="G466" s="48" t="b">
        <v>0</v>
      </c>
      <c r="I466" s="48"/>
    </row>
    <row r="467" spans="1:9" x14ac:dyDescent="0.25">
      <c r="G467" s="48" t="b">
        <v>0</v>
      </c>
      <c r="I467" s="49">
        <f>IF(G466=TRUE,2,IF(G467=TRUE,1,IF(G468=TRUE,0,0)))</f>
        <v>0</v>
      </c>
    </row>
    <row r="468" spans="1:9" x14ac:dyDescent="0.25">
      <c r="G468" s="48" t="b">
        <v>0</v>
      </c>
      <c r="I468" s="48"/>
    </row>
    <row r="469" spans="1:9" x14ac:dyDescent="0.25">
      <c r="A469" s="7" t="s">
        <v>190</v>
      </c>
      <c r="G469" s="48"/>
      <c r="I469" s="48"/>
    </row>
    <row r="470" spans="1:9" x14ac:dyDescent="0.25">
      <c r="G470" s="48" t="b">
        <v>0</v>
      </c>
      <c r="I470" s="48"/>
    </row>
    <row r="471" spans="1:9" x14ac:dyDescent="0.25">
      <c r="G471" s="48" t="b">
        <v>0</v>
      </c>
      <c r="I471" s="49">
        <f>IF(G470=TRUE,2,IF(G471=TRUE,1,IF(G472=TRUE,0,0)))</f>
        <v>0</v>
      </c>
    </row>
    <row r="472" spans="1:9" x14ac:dyDescent="0.25">
      <c r="G472" s="48" t="b">
        <v>0</v>
      </c>
      <c r="I472" s="48"/>
    </row>
    <row r="473" spans="1:9" x14ac:dyDescent="0.25">
      <c r="A473" s="7" t="s">
        <v>191</v>
      </c>
      <c r="G473" s="48"/>
      <c r="I473" s="48"/>
    </row>
    <row r="474" spans="1:9" x14ac:dyDescent="0.25">
      <c r="G474" s="48" t="b">
        <v>0</v>
      </c>
      <c r="I474" s="48"/>
    </row>
    <row r="475" spans="1:9" x14ac:dyDescent="0.25">
      <c r="G475" s="48" t="b">
        <v>0</v>
      </c>
      <c r="I475" s="49">
        <f>IF(G474=TRUE,2,IF(G475=TRUE,1,IF(G476=TRUE,0,0)))</f>
        <v>0</v>
      </c>
    </row>
    <row r="476" spans="1:9" x14ac:dyDescent="0.25">
      <c r="G476" s="48" t="b">
        <v>0</v>
      </c>
      <c r="I476" s="48"/>
    </row>
    <row r="477" spans="1:9" x14ac:dyDescent="0.25">
      <c r="A477" s="7" t="s">
        <v>192</v>
      </c>
      <c r="G477" s="48"/>
      <c r="I477" s="48"/>
    </row>
    <row r="478" spans="1:9" x14ac:dyDescent="0.25">
      <c r="G478" s="48" t="b">
        <v>0</v>
      </c>
      <c r="I478" s="49"/>
    </row>
    <row r="479" spans="1:9" x14ac:dyDescent="0.25">
      <c r="G479" s="48" t="b">
        <v>0</v>
      </c>
      <c r="I479" s="49">
        <f>IF(G478=TRUE,2,IF(G479=TRUE,1,IF(G480=TRUE,0,0)))</f>
        <v>0</v>
      </c>
    </row>
    <row r="480" spans="1:9" x14ac:dyDescent="0.25">
      <c r="G480" s="48" t="b">
        <v>0</v>
      </c>
      <c r="I480" s="48"/>
    </row>
    <row r="481" spans="1:9" x14ac:dyDescent="0.25">
      <c r="A481" s="7" t="s">
        <v>193</v>
      </c>
      <c r="G481" s="48"/>
      <c r="I481" s="48"/>
    </row>
    <row r="482" spans="1:9" x14ac:dyDescent="0.25">
      <c r="G482" s="48" t="b">
        <v>0</v>
      </c>
      <c r="I482" s="48"/>
    </row>
    <row r="483" spans="1:9" x14ac:dyDescent="0.25">
      <c r="G483" s="48" t="b">
        <v>0</v>
      </c>
      <c r="I483" s="49">
        <f>IF(G482=TRUE,2,IF(G483=TRUE,1,IF(G484=TRUE,0,0)))</f>
        <v>0</v>
      </c>
    </row>
    <row r="484" spans="1:9" x14ac:dyDescent="0.25">
      <c r="G484" s="48" t="b">
        <v>0</v>
      </c>
      <c r="I484" s="48"/>
    </row>
    <row r="485" spans="1:9" x14ac:dyDescent="0.25">
      <c r="A485" s="7" t="s">
        <v>194</v>
      </c>
      <c r="G485" s="48"/>
      <c r="I485" s="48"/>
    </row>
    <row r="486" spans="1:9" x14ac:dyDescent="0.25">
      <c r="G486" s="48" t="b">
        <v>0</v>
      </c>
      <c r="I486" s="48"/>
    </row>
    <row r="487" spans="1:9" x14ac:dyDescent="0.25">
      <c r="C487" s="39"/>
      <c r="G487" s="48" t="b">
        <v>0</v>
      </c>
      <c r="I487" s="49">
        <f>IF(G486=TRUE,0,IF(G487=TRUE,1,IF(G488=TRUE,2,0)))</f>
        <v>0</v>
      </c>
    </row>
    <row r="488" spans="1:9" x14ac:dyDescent="0.25">
      <c r="G488" s="48" t="b">
        <v>0</v>
      </c>
      <c r="I488" s="48"/>
    </row>
    <row r="489" spans="1:9" x14ac:dyDescent="0.25">
      <c r="A489" s="7" t="s">
        <v>195</v>
      </c>
      <c r="G489" s="48"/>
      <c r="I489" s="48"/>
    </row>
    <row r="490" spans="1:9" x14ac:dyDescent="0.25">
      <c r="G490" s="48" t="b">
        <v>0</v>
      </c>
      <c r="I490" s="48"/>
    </row>
    <row r="491" spans="1:9" x14ac:dyDescent="0.25">
      <c r="G491" s="48" t="b">
        <v>0</v>
      </c>
      <c r="I491" s="49">
        <f>IF(G490=TRUE,0,IF(G491=TRUE,1,IF(G492=TRUE,2,0)))</f>
        <v>0</v>
      </c>
    </row>
    <row r="492" spans="1:9" x14ac:dyDescent="0.25">
      <c r="G492" s="48" t="b">
        <v>0</v>
      </c>
      <c r="I492" s="48"/>
    </row>
    <row r="493" spans="1:9" x14ac:dyDescent="0.25">
      <c r="A493" s="7" t="s">
        <v>196</v>
      </c>
      <c r="G493" s="48"/>
      <c r="I493" s="48"/>
    </row>
    <row r="494" spans="1:9" x14ac:dyDescent="0.25">
      <c r="G494" s="48" t="b">
        <v>0</v>
      </c>
      <c r="I494" s="48"/>
    </row>
    <row r="495" spans="1:9" x14ac:dyDescent="0.25">
      <c r="G495" s="48" t="b">
        <v>0</v>
      </c>
      <c r="I495" s="49">
        <f>IF(G494=TRUE,0,IF(G495=TRUE,1,IF(G496=TRUE,2,0)))</f>
        <v>0</v>
      </c>
    </row>
    <row r="496" spans="1:9" x14ac:dyDescent="0.25">
      <c r="G496" s="48" t="b">
        <v>0</v>
      </c>
      <c r="I496" s="48"/>
    </row>
    <row r="497" spans="1:9" x14ac:dyDescent="0.25">
      <c r="A497" s="7" t="s">
        <v>197</v>
      </c>
      <c r="G497" s="48"/>
      <c r="I497" s="48"/>
    </row>
    <row r="498" spans="1:9" x14ac:dyDescent="0.25">
      <c r="G498" s="48" t="b">
        <v>0</v>
      </c>
      <c r="I498" s="48"/>
    </row>
    <row r="499" spans="1:9" x14ac:dyDescent="0.25">
      <c r="G499" s="48" t="b">
        <v>0</v>
      </c>
      <c r="I499" s="49">
        <f>IF(G498=TRUE,0,IF(G499=TRUE,1,IF(G500=TRUE,2,0)))</f>
        <v>0</v>
      </c>
    </row>
    <row r="500" spans="1:9" x14ac:dyDescent="0.25">
      <c r="G500" s="48" t="b">
        <v>0</v>
      </c>
      <c r="I500" s="48"/>
    </row>
    <row r="501" spans="1:9" x14ac:dyDescent="0.25">
      <c r="A501" s="7" t="s">
        <v>198</v>
      </c>
      <c r="G501" s="48"/>
      <c r="I501" s="48"/>
    </row>
    <row r="502" spans="1:9" x14ac:dyDescent="0.25">
      <c r="G502" s="48" t="b">
        <v>0</v>
      </c>
      <c r="I502" s="48"/>
    </row>
    <row r="503" spans="1:9" x14ac:dyDescent="0.25">
      <c r="G503" s="48" t="b">
        <v>0</v>
      </c>
      <c r="I503" s="49">
        <f>IF(G502=TRUE,2,IF(G503=TRUE,1,IF(G504=TRUE,0,0)))</f>
        <v>0</v>
      </c>
    </row>
    <row r="504" spans="1:9" x14ac:dyDescent="0.25">
      <c r="G504" s="48" t="b">
        <v>0</v>
      </c>
      <c r="I504" s="48"/>
    </row>
    <row r="505" spans="1:9" x14ac:dyDescent="0.25">
      <c r="A505" s="7" t="s">
        <v>199</v>
      </c>
      <c r="G505" s="48"/>
      <c r="I505" s="48"/>
    </row>
    <row r="506" spans="1:9" x14ac:dyDescent="0.25">
      <c r="G506" s="48" t="b">
        <v>0</v>
      </c>
      <c r="I506" s="48"/>
    </row>
    <row r="507" spans="1:9" x14ac:dyDescent="0.25">
      <c r="G507" s="48" t="b">
        <v>0</v>
      </c>
      <c r="I507" s="49">
        <f>IF(G506=TRUE,0,IF(G507=TRUE,1,IF(G508=TRUE,2,0)))</f>
        <v>0</v>
      </c>
    </row>
    <row r="508" spans="1:9" x14ac:dyDescent="0.25">
      <c r="G508" s="48" t="b">
        <v>0</v>
      </c>
      <c r="I508" s="48"/>
    </row>
    <row r="509" spans="1:9" x14ac:dyDescent="0.25">
      <c r="A509" s="7" t="s">
        <v>200</v>
      </c>
      <c r="G509" s="48"/>
      <c r="I509" s="48"/>
    </row>
    <row r="510" spans="1:9" x14ac:dyDescent="0.25">
      <c r="G510" s="48" t="b">
        <v>0</v>
      </c>
      <c r="I510" s="48"/>
    </row>
    <row r="511" spans="1:9" x14ac:dyDescent="0.25">
      <c r="G511" s="48" t="b">
        <v>0</v>
      </c>
      <c r="I511" s="49">
        <f>IF(G510=TRUE,2,IF(G511=TRUE,1,IF(G512=TRUE,0,0)))</f>
        <v>0</v>
      </c>
    </row>
    <row r="512" spans="1:9" x14ac:dyDescent="0.25">
      <c r="G512" s="48" t="b">
        <v>0</v>
      </c>
      <c r="I512" s="48"/>
    </row>
    <row r="513" spans="1:9" x14ac:dyDescent="0.25">
      <c r="A513" s="7" t="s">
        <v>201</v>
      </c>
      <c r="G513" s="48"/>
      <c r="I513" s="48"/>
    </row>
    <row r="514" spans="1:9" x14ac:dyDescent="0.25">
      <c r="G514" s="48" t="b">
        <v>0</v>
      </c>
      <c r="I514" s="48"/>
    </row>
    <row r="515" spans="1:9" x14ac:dyDescent="0.25">
      <c r="G515" s="48" t="b">
        <v>0</v>
      </c>
      <c r="I515" s="49">
        <f>IF(G514=TRUE,0,IF(G515=TRUE,0,IF(G516=TRUE,1,0)))</f>
        <v>0</v>
      </c>
    </row>
    <row r="516" spans="1:9" x14ac:dyDescent="0.25">
      <c r="G516" s="48" t="b">
        <v>0</v>
      </c>
      <c r="I516" s="48"/>
    </row>
    <row r="517" spans="1:9" x14ac:dyDescent="0.25">
      <c r="A517" s="7" t="s">
        <v>202</v>
      </c>
      <c r="G517" s="48"/>
      <c r="I517" s="48"/>
    </row>
    <row r="518" spans="1:9" x14ac:dyDescent="0.25">
      <c r="G518" s="48" t="b">
        <v>0</v>
      </c>
      <c r="I518" s="48"/>
    </row>
    <row r="519" spans="1:9" x14ac:dyDescent="0.25">
      <c r="G519" s="48" t="b">
        <v>0</v>
      </c>
      <c r="I519" s="49">
        <f>IF(G518=TRUE,0,IF(G519=TRUE,1,IF(G520=TRUE,0,0)))</f>
        <v>0</v>
      </c>
    </row>
    <row r="520" spans="1:9" x14ac:dyDescent="0.25">
      <c r="G520" s="48" t="b">
        <v>0</v>
      </c>
      <c r="I520" s="48"/>
    </row>
    <row r="521" spans="1:9" x14ac:dyDescent="0.25">
      <c r="A521" s="7" t="s">
        <v>203</v>
      </c>
      <c r="G521" s="48"/>
      <c r="I521" s="48"/>
    </row>
    <row r="522" spans="1:9" x14ac:dyDescent="0.25">
      <c r="G522" s="48" t="b">
        <v>0</v>
      </c>
      <c r="I522" s="48"/>
    </row>
    <row r="523" spans="1:9" x14ac:dyDescent="0.25">
      <c r="G523" s="48" t="b">
        <v>0</v>
      </c>
      <c r="I523" s="49">
        <f>IF(G522=TRUE,0,IF(G523=TRUE,1,IF(G524=TRUE,2,0)))</f>
        <v>0</v>
      </c>
    </row>
    <row r="524" spans="1:9" x14ac:dyDescent="0.25">
      <c r="G524" s="48" t="b">
        <v>0</v>
      </c>
      <c r="I524" s="48"/>
    </row>
    <row r="525" spans="1:9" x14ac:dyDescent="0.25">
      <c r="A525" s="7" t="s">
        <v>204</v>
      </c>
      <c r="G525" s="48"/>
      <c r="I525" s="48"/>
    </row>
    <row r="526" spans="1:9" x14ac:dyDescent="0.25">
      <c r="G526" s="48" t="b">
        <v>0</v>
      </c>
      <c r="I526" s="48"/>
    </row>
    <row r="527" spans="1:9" x14ac:dyDescent="0.25">
      <c r="G527" s="48" t="b">
        <v>0</v>
      </c>
      <c r="I527" s="49">
        <f>IF(G526=TRUE,2,IF(G527=TRUE,1,IF(G528=TRUE,0,0)))</f>
        <v>0</v>
      </c>
    </row>
    <row r="528" spans="1:9" x14ac:dyDescent="0.25">
      <c r="G528" s="48" t="b">
        <v>0</v>
      </c>
      <c r="I528" s="48"/>
    </row>
    <row r="529" spans="1:9" x14ac:dyDescent="0.25">
      <c r="A529" s="7" t="s">
        <v>205</v>
      </c>
      <c r="G529" s="48"/>
      <c r="I529" s="48"/>
    </row>
    <row r="530" spans="1:9" x14ac:dyDescent="0.25">
      <c r="G530" s="48" t="b">
        <v>0</v>
      </c>
      <c r="I530" s="48"/>
    </row>
    <row r="531" spans="1:9" x14ac:dyDescent="0.25">
      <c r="G531" s="48" t="b">
        <v>0</v>
      </c>
      <c r="I531" s="49">
        <f>IF(G530=TRUE,2,IF(G531=TRUE,1,IF(G532=TRUE,0,0)))</f>
        <v>0</v>
      </c>
    </row>
    <row r="532" spans="1:9" x14ac:dyDescent="0.25">
      <c r="G532" s="48" t="b">
        <v>0</v>
      </c>
      <c r="I532" s="48"/>
    </row>
    <row r="533" spans="1:9" x14ac:dyDescent="0.25">
      <c r="A533" s="7" t="s">
        <v>206</v>
      </c>
      <c r="G533" s="48"/>
      <c r="I533" s="48"/>
    </row>
    <row r="534" spans="1:9" x14ac:dyDescent="0.25">
      <c r="G534" s="48" t="b">
        <v>0</v>
      </c>
      <c r="I534" s="48"/>
    </row>
    <row r="535" spans="1:9" x14ac:dyDescent="0.25">
      <c r="G535" s="48" t="b">
        <v>0</v>
      </c>
      <c r="I535" s="49">
        <f>IF(G534=TRUE,2,IF(G535=TRUE,1,IF(G536=TRUE,0,0)))</f>
        <v>0</v>
      </c>
    </row>
    <row r="536" spans="1:9" x14ac:dyDescent="0.25">
      <c r="G536" s="48" t="b">
        <v>0</v>
      </c>
      <c r="I536" s="48"/>
    </row>
    <row r="537" spans="1:9" x14ac:dyDescent="0.25">
      <c r="A537" s="7" t="s">
        <v>207</v>
      </c>
      <c r="G537" s="48"/>
      <c r="I537" s="48"/>
    </row>
    <row r="538" spans="1:9" x14ac:dyDescent="0.25">
      <c r="G538" s="48" t="b">
        <v>0</v>
      </c>
      <c r="I538" s="48"/>
    </row>
    <row r="539" spans="1:9" x14ac:dyDescent="0.25">
      <c r="G539" s="48" t="b">
        <v>0</v>
      </c>
      <c r="I539" s="49">
        <f>IF(G538=TRUE,2,IF(G539=TRUE,1,IF(G540=TRUE,0,0)))</f>
        <v>0</v>
      </c>
    </row>
    <row r="540" spans="1:9" x14ac:dyDescent="0.25">
      <c r="G540" s="48" t="b">
        <v>0</v>
      </c>
      <c r="I540" s="48"/>
    </row>
    <row r="541" spans="1:9" x14ac:dyDescent="0.25">
      <c r="A541" s="7" t="s">
        <v>208</v>
      </c>
      <c r="G541" s="48"/>
      <c r="I541" s="48"/>
    </row>
    <row r="542" spans="1:9" x14ac:dyDescent="0.25">
      <c r="G542" s="48" t="b">
        <v>0</v>
      </c>
      <c r="I542" s="48"/>
    </row>
    <row r="543" spans="1:9" x14ac:dyDescent="0.25">
      <c r="G543" s="48" t="b">
        <v>0</v>
      </c>
      <c r="I543" s="49">
        <f>IF(G542=TRUE,2,IF(G543=TRUE,1,IF(G544=TRUE,0,0)))</f>
        <v>0</v>
      </c>
    </row>
    <row r="544" spans="1:9" x14ac:dyDescent="0.25">
      <c r="G544" s="48" t="b">
        <v>0</v>
      </c>
      <c r="I544" s="48"/>
    </row>
    <row r="545" spans="1:9" x14ac:dyDescent="0.25">
      <c r="A545" s="7" t="s">
        <v>209</v>
      </c>
      <c r="G545" s="48"/>
      <c r="I545" s="48"/>
    </row>
    <row r="546" spans="1:9" x14ac:dyDescent="0.25">
      <c r="G546" s="48" t="b">
        <v>0</v>
      </c>
      <c r="I546" s="48"/>
    </row>
    <row r="547" spans="1:9" x14ac:dyDescent="0.25">
      <c r="G547" s="48" t="b">
        <v>0</v>
      </c>
      <c r="I547" s="49">
        <f>IF(G546=TRUE,2,IF(G547=TRUE,1,IF(G548=TRUE,0,0)))</f>
        <v>0</v>
      </c>
    </row>
    <row r="548" spans="1:9" x14ac:dyDescent="0.25">
      <c r="G548" s="48" t="b">
        <v>0</v>
      </c>
      <c r="I548" s="48"/>
    </row>
    <row r="549" spans="1:9" x14ac:dyDescent="0.25">
      <c r="A549" s="7" t="s">
        <v>210</v>
      </c>
      <c r="G549" s="48"/>
      <c r="I549" s="48"/>
    </row>
    <row r="550" spans="1:9" x14ac:dyDescent="0.25">
      <c r="G550" s="48" t="b">
        <v>0</v>
      </c>
      <c r="I550" s="48"/>
    </row>
    <row r="551" spans="1:9" x14ac:dyDescent="0.25">
      <c r="G551" s="48" t="b">
        <v>0</v>
      </c>
      <c r="I551" s="49">
        <f>IF(G550=TRUE,2,IF(G551=TRUE,1,IF(G552=TRUE,0,0)))</f>
        <v>0</v>
      </c>
    </row>
    <row r="552" spans="1:9" x14ac:dyDescent="0.25">
      <c r="G552" s="48" t="b">
        <v>0</v>
      </c>
      <c r="I552" s="48"/>
    </row>
    <row r="553" spans="1:9" x14ac:dyDescent="0.25">
      <c r="A553" s="7" t="s">
        <v>211</v>
      </c>
      <c r="G553" s="48"/>
      <c r="I553" s="48"/>
    </row>
    <row r="554" spans="1:9" x14ac:dyDescent="0.25">
      <c r="G554" s="48" t="b">
        <v>0</v>
      </c>
      <c r="I554" s="48"/>
    </row>
    <row r="555" spans="1:9" x14ac:dyDescent="0.25">
      <c r="G555" s="48" t="b">
        <v>0</v>
      </c>
      <c r="I555" s="49">
        <f>IF(G554=TRUE,0,IF(G555=TRUE,1,IF(G556=TRUE,2,0)))</f>
        <v>0</v>
      </c>
    </row>
    <row r="556" spans="1:9" x14ac:dyDescent="0.25">
      <c r="G556" s="48" t="b">
        <v>0</v>
      </c>
      <c r="I556" s="48"/>
    </row>
    <row r="557" spans="1:9" x14ac:dyDescent="0.25">
      <c r="A557" s="7" t="s">
        <v>212</v>
      </c>
      <c r="G557" s="48"/>
      <c r="I557" s="48"/>
    </row>
    <row r="558" spans="1:9" x14ac:dyDescent="0.25">
      <c r="G558" s="48" t="b">
        <v>0</v>
      </c>
      <c r="I558" s="48"/>
    </row>
    <row r="559" spans="1:9" x14ac:dyDescent="0.25">
      <c r="G559" s="48" t="b">
        <v>0</v>
      </c>
      <c r="I559" s="49">
        <f>IF(G558=TRUE,2,IF(G559=TRUE,1,IF(G560=TRUE,0,0)))</f>
        <v>0</v>
      </c>
    </row>
    <row r="560" spans="1:9" x14ac:dyDescent="0.25">
      <c r="G560" s="48" t="b">
        <v>0</v>
      </c>
      <c r="I560" s="48"/>
    </row>
    <row r="561" spans="1:9" x14ac:dyDescent="0.25">
      <c r="A561" s="7" t="s">
        <v>213</v>
      </c>
      <c r="G561" s="48"/>
      <c r="I561" s="48"/>
    </row>
    <row r="562" spans="1:9" x14ac:dyDescent="0.25">
      <c r="G562" s="48" t="b">
        <v>0</v>
      </c>
      <c r="I562" s="48"/>
    </row>
    <row r="563" spans="1:9" x14ac:dyDescent="0.25">
      <c r="G563" s="48" t="b">
        <v>0</v>
      </c>
      <c r="I563" s="49">
        <f>IF(G562=TRUE,0,IF(G563=TRUE,1,IF(G564=TRUE,2,0)))</f>
        <v>0</v>
      </c>
    </row>
    <row r="564" spans="1:9" x14ac:dyDescent="0.25">
      <c r="G564" s="48" t="b">
        <v>0</v>
      </c>
      <c r="I564" s="48"/>
    </row>
    <row r="565" spans="1:9" x14ac:dyDescent="0.25">
      <c r="A565" s="7" t="s">
        <v>214</v>
      </c>
      <c r="G565" s="48"/>
      <c r="I565" s="48"/>
    </row>
    <row r="566" spans="1:9" x14ac:dyDescent="0.25">
      <c r="G566" s="48" t="b">
        <v>0</v>
      </c>
      <c r="I566" s="48"/>
    </row>
    <row r="567" spans="1:9" x14ac:dyDescent="0.25">
      <c r="G567" s="48" t="b">
        <v>0</v>
      </c>
      <c r="I567" s="49">
        <f>IF(G566=TRUE,2,IF(G567=TRUE,1,IF(G568=TRUE,0,0)))</f>
        <v>0</v>
      </c>
    </row>
    <row r="568" spans="1:9" x14ac:dyDescent="0.25">
      <c r="G568" s="48" t="b">
        <v>0</v>
      </c>
      <c r="I568" s="48"/>
    </row>
    <row r="569" spans="1:9" x14ac:dyDescent="0.25">
      <c r="A569" s="7" t="s">
        <v>215</v>
      </c>
      <c r="G569" s="48"/>
      <c r="I569" s="48"/>
    </row>
    <row r="570" spans="1:9" x14ac:dyDescent="0.25">
      <c r="G570" s="48" t="b">
        <v>0</v>
      </c>
      <c r="I570" s="48"/>
    </row>
    <row r="571" spans="1:9" x14ac:dyDescent="0.25">
      <c r="G571" s="48" t="b">
        <v>0</v>
      </c>
      <c r="I571" s="49">
        <f>IF(G570=TRUE,2,IF(G571=TRUE,1,IF(G572=TRUE,0,0)))</f>
        <v>0</v>
      </c>
    </row>
    <row r="572" spans="1:9" x14ac:dyDescent="0.25">
      <c r="G572" s="48" t="b">
        <v>0</v>
      </c>
      <c r="I572" s="48"/>
    </row>
    <row r="573" spans="1:9" x14ac:dyDescent="0.25">
      <c r="A573" s="7" t="s">
        <v>216</v>
      </c>
      <c r="G573" s="48"/>
      <c r="I573" s="48"/>
    </row>
    <row r="574" spans="1:9" x14ac:dyDescent="0.25">
      <c r="G574" s="48" t="b">
        <v>0</v>
      </c>
      <c r="I574" s="48"/>
    </row>
    <row r="575" spans="1:9" x14ac:dyDescent="0.25">
      <c r="G575" s="48" t="b">
        <v>0</v>
      </c>
      <c r="I575" s="49">
        <f>IF(G574=TRUE,2,IF(G575=TRUE,1,IF(G576=TRUE,0,0)))</f>
        <v>0</v>
      </c>
    </row>
    <row r="576" spans="1:9" x14ac:dyDescent="0.25">
      <c r="G576" s="48" t="b">
        <v>0</v>
      </c>
      <c r="I576" s="48"/>
    </row>
    <row r="577" spans="1:9" x14ac:dyDescent="0.25">
      <c r="A577" s="7" t="s">
        <v>217</v>
      </c>
      <c r="G577" s="48"/>
      <c r="I577" s="48"/>
    </row>
    <row r="578" spans="1:9" x14ac:dyDescent="0.25">
      <c r="G578" s="48" t="b">
        <v>0</v>
      </c>
      <c r="I578" s="48"/>
    </row>
    <row r="579" spans="1:9" x14ac:dyDescent="0.25">
      <c r="G579" s="48" t="b">
        <v>0</v>
      </c>
      <c r="I579" s="49">
        <f>IF(G578=TRUE,2,IF(G579=TRUE,1,IF(G580=TRUE,0,0)))</f>
        <v>0</v>
      </c>
    </row>
    <row r="580" spans="1:9" x14ac:dyDescent="0.25">
      <c r="G580" s="48" t="b">
        <v>0</v>
      </c>
      <c r="I580" s="48"/>
    </row>
    <row r="581" spans="1:9" x14ac:dyDescent="0.25">
      <c r="A581" s="7" t="s">
        <v>218</v>
      </c>
      <c r="G581" s="48"/>
      <c r="I581" s="48"/>
    </row>
    <row r="582" spans="1:9" x14ac:dyDescent="0.25">
      <c r="G582" s="48" t="b">
        <v>0</v>
      </c>
      <c r="I582" s="48"/>
    </row>
    <row r="583" spans="1:9" x14ac:dyDescent="0.25">
      <c r="G583" s="48" t="b">
        <v>0</v>
      </c>
      <c r="I583" s="49">
        <f>IF(G582=TRUE,0,IF(G583=TRUE,1,IF(G584=TRUE,2,0)))</f>
        <v>0</v>
      </c>
    </row>
    <row r="584" spans="1:9" x14ac:dyDescent="0.25">
      <c r="G584" s="48" t="b">
        <v>0</v>
      </c>
      <c r="I584" s="48"/>
    </row>
    <row r="585" spans="1:9" x14ac:dyDescent="0.25">
      <c r="A585" s="7" t="s">
        <v>219</v>
      </c>
      <c r="G585" s="48"/>
      <c r="I585" s="48"/>
    </row>
    <row r="586" spans="1:9" x14ac:dyDescent="0.25">
      <c r="G586" s="48" t="b">
        <v>0</v>
      </c>
      <c r="I586" s="48"/>
    </row>
    <row r="587" spans="1:9" x14ac:dyDescent="0.25">
      <c r="G587" s="48" t="b">
        <v>0</v>
      </c>
      <c r="I587" s="49">
        <f>IF(G586=TRUE,2,IF(G587=TRUE,1,IF(G588=TRUE,0,0)))</f>
        <v>0</v>
      </c>
    </row>
    <row r="588" spans="1:9" x14ac:dyDescent="0.25">
      <c r="G588" s="48" t="b">
        <v>0</v>
      </c>
      <c r="I588" s="48"/>
    </row>
    <row r="589" spans="1:9" x14ac:dyDescent="0.25">
      <c r="A589" s="7" t="s">
        <v>220</v>
      </c>
      <c r="G589" s="48"/>
      <c r="I589" s="48"/>
    </row>
    <row r="590" spans="1:9" x14ac:dyDescent="0.25">
      <c r="G590" s="48" t="b">
        <v>0</v>
      </c>
      <c r="I590" s="48"/>
    </row>
    <row r="591" spans="1:9" x14ac:dyDescent="0.25">
      <c r="G591" s="48" t="b">
        <v>0</v>
      </c>
      <c r="I591" s="49">
        <f>IF(G590=TRUE,2,IF(G591=TRUE,1,IF(G592=TRUE,0,0)))</f>
        <v>0</v>
      </c>
    </row>
    <row r="592" spans="1:9" x14ac:dyDescent="0.25">
      <c r="G592" s="48" t="b">
        <v>0</v>
      </c>
      <c r="I592" s="48"/>
    </row>
    <row r="593" spans="1:9" x14ac:dyDescent="0.25">
      <c r="A593" s="7" t="s">
        <v>221</v>
      </c>
      <c r="G593" s="48"/>
      <c r="I593" s="48"/>
    </row>
    <row r="594" spans="1:9" x14ac:dyDescent="0.25">
      <c r="G594" s="48" t="b">
        <v>0</v>
      </c>
      <c r="I594" s="48"/>
    </row>
    <row r="595" spans="1:9" x14ac:dyDescent="0.25">
      <c r="G595" s="48" t="b">
        <v>0</v>
      </c>
      <c r="I595" s="49">
        <f>IF(G594=TRUE,0,IF(G595=TRUE,1,IF(G596=TRUE,2,0)))</f>
        <v>0</v>
      </c>
    </row>
    <row r="596" spans="1:9" x14ac:dyDescent="0.25">
      <c r="G596" s="48" t="b">
        <v>0</v>
      </c>
      <c r="I596" s="48"/>
    </row>
    <row r="597" spans="1:9" x14ac:dyDescent="0.25">
      <c r="A597" s="7" t="s">
        <v>222</v>
      </c>
      <c r="G597" s="48"/>
      <c r="I597" s="48"/>
    </row>
    <row r="598" spans="1:9" x14ac:dyDescent="0.25">
      <c r="G598" s="48" t="b">
        <v>0</v>
      </c>
      <c r="I598" s="48"/>
    </row>
    <row r="599" spans="1:9" x14ac:dyDescent="0.25">
      <c r="G599" s="48" t="b">
        <v>0</v>
      </c>
      <c r="I599" s="49">
        <f>IF(G598=TRUE,2,IF(G599=TRUE,1,IF(G600=TRUE,0,0)))</f>
        <v>0</v>
      </c>
    </row>
    <row r="600" spans="1:9" x14ac:dyDescent="0.25">
      <c r="G600" s="48" t="b">
        <v>0</v>
      </c>
      <c r="I600" s="48"/>
    </row>
    <row r="601" spans="1:9" x14ac:dyDescent="0.25">
      <c r="A601" s="7" t="s">
        <v>223</v>
      </c>
      <c r="G601" s="48"/>
      <c r="I601" s="48"/>
    </row>
    <row r="602" spans="1:9" x14ac:dyDescent="0.25">
      <c r="G602" s="48" t="b">
        <v>0</v>
      </c>
      <c r="I602" s="48"/>
    </row>
    <row r="603" spans="1:9" x14ac:dyDescent="0.25">
      <c r="G603" s="48" t="b">
        <v>0</v>
      </c>
      <c r="I603" s="49">
        <f>IF(G602=TRUE,2,IF(G603=TRUE,1,IF(G604=TRUE,0,0)))</f>
        <v>0</v>
      </c>
    </row>
    <row r="604" spans="1:9" x14ac:dyDescent="0.25">
      <c r="G604" s="48" t="b">
        <v>0</v>
      </c>
      <c r="I604" s="48"/>
    </row>
    <row r="605" spans="1:9" x14ac:dyDescent="0.25">
      <c r="A605" s="7" t="s">
        <v>224</v>
      </c>
      <c r="G605" s="48"/>
      <c r="I605" s="48"/>
    </row>
    <row r="606" spans="1:9" x14ac:dyDescent="0.25">
      <c r="G606" s="48" t="b">
        <v>0</v>
      </c>
      <c r="I606" s="48"/>
    </row>
    <row r="607" spans="1:9" x14ac:dyDescent="0.25">
      <c r="G607" s="48" t="b">
        <v>0</v>
      </c>
      <c r="I607" s="49">
        <f>IF(G606=TRUE,0,IF(G607=TRUE,1,IF(G608=TRUE,2,0)))</f>
        <v>0</v>
      </c>
    </row>
    <row r="608" spans="1:9" x14ac:dyDescent="0.25">
      <c r="G608" s="48" t="b">
        <v>0</v>
      </c>
      <c r="I608" s="48"/>
    </row>
    <row r="609" spans="1:9" x14ac:dyDescent="0.25">
      <c r="A609" s="7" t="s">
        <v>225</v>
      </c>
      <c r="G609" s="48"/>
      <c r="I609" s="48"/>
    </row>
    <row r="610" spans="1:9" x14ac:dyDescent="0.25">
      <c r="G610" s="48" t="b">
        <v>0</v>
      </c>
      <c r="I610" s="48"/>
    </row>
    <row r="611" spans="1:9" x14ac:dyDescent="0.25">
      <c r="G611" s="48" t="b">
        <v>0</v>
      </c>
      <c r="I611" s="49">
        <f>IF(G610=TRUE,0,IF(G611=TRUE,1,IF(G612=TRUE,2,0)))</f>
        <v>0</v>
      </c>
    </row>
    <row r="612" spans="1:9" x14ac:dyDescent="0.25">
      <c r="G612" s="48" t="b">
        <v>0</v>
      </c>
      <c r="I612" s="48"/>
    </row>
    <row r="613" spans="1:9" x14ac:dyDescent="0.25">
      <c r="A613" s="7" t="s">
        <v>226</v>
      </c>
      <c r="G613" s="48"/>
      <c r="I613" s="48"/>
    </row>
    <row r="614" spans="1:9" x14ac:dyDescent="0.25">
      <c r="G614" s="48" t="b">
        <v>0</v>
      </c>
      <c r="I614" s="48"/>
    </row>
    <row r="615" spans="1:9" x14ac:dyDescent="0.25">
      <c r="G615" s="48" t="b">
        <v>0</v>
      </c>
      <c r="I615" s="49">
        <f>IF(G614=TRUE,1,IF(G615=TRUE,0,IF(G616=TRUE,0,0)))</f>
        <v>0</v>
      </c>
    </row>
    <row r="616" spans="1:9" x14ac:dyDescent="0.25">
      <c r="G616" s="48" t="b">
        <v>0</v>
      </c>
      <c r="I616" s="48"/>
    </row>
    <row r="617" spans="1:9" x14ac:dyDescent="0.25">
      <c r="A617" s="7" t="s">
        <v>227</v>
      </c>
      <c r="G617" s="48"/>
      <c r="I617" s="48"/>
    </row>
    <row r="618" spans="1:9" x14ac:dyDescent="0.25">
      <c r="G618" s="48" t="b">
        <v>0</v>
      </c>
      <c r="I618" s="48"/>
    </row>
    <row r="619" spans="1:9" x14ac:dyDescent="0.25">
      <c r="G619" s="48" t="b">
        <v>0</v>
      </c>
      <c r="I619" s="49">
        <f>IF(G618=TRUE,0,IF(G619=TRUE,0,IF(G620=TRUE,1,0)))</f>
        <v>0</v>
      </c>
    </row>
    <row r="620" spans="1:9" x14ac:dyDescent="0.25">
      <c r="G620" s="48" t="b">
        <v>0</v>
      </c>
      <c r="I620" s="48"/>
    </row>
    <row r="621" spans="1:9" x14ac:dyDescent="0.25">
      <c r="A621" s="7" t="s">
        <v>228</v>
      </c>
      <c r="G621" s="48"/>
      <c r="I621" s="48"/>
    </row>
    <row r="622" spans="1:9" x14ac:dyDescent="0.25">
      <c r="G622" s="48" t="b">
        <v>0</v>
      </c>
      <c r="I622" s="49"/>
    </row>
    <row r="623" spans="1:9" x14ac:dyDescent="0.25">
      <c r="G623" s="48" t="b">
        <v>0</v>
      </c>
      <c r="I623" s="49">
        <f>IF(G622=TRUE,0,IF(G623=TRUE,1,IF(G624=TRUE,2,0)))</f>
        <v>0</v>
      </c>
    </row>
    <row r="624" spans="1:9" x14ac:dyDescent="0.25">
      <c r="G624" s="48" t="b">
        <v>0</v>
      </c>
      <c r="I624" s="48"/>
    </row>
    <row r="625" spans="1:9" x14ac:dyDescent="0.25">
      <c r="A625" s="7" t="s">
        <v>229</v>
      </c>
      <c r="G625" s="48"/>
      <c r="I625" s="48"/>
    </row>
    <row r="626" spans="1:9" x14ac:dyDescent="0.25">
      <c r="G626" s="48" t="b">
        <v>0</v>
      </c>
      <c r="I626" s="48"/>
    </row>
    <row r="627" spans="1:9" x14ac:dyDescent="0.25">
      <c r="G627" s="48" t="b">
        <v>0</v>
      </c>
      <c r="I627" s="49">
        <f>IF(G626=TRUE,2,IF(G627=TRUE,1,IF(G628=TRUE,0,0)))</f>
        <v>0</v>
      </c>
    </row>
    <row r="628" spans="1:9" x14ac:dyDescent="0.25">
      <c r="G628" s="48" t="b">
        <v>0</v>
      </c>
      <c r="I628" s="48"/>
    </row>
    <row r="629" spans="1:9" x14ac:dyDescent="0.25">
      <c r="A629" s="7" t="s">
        <v>230</v>
      </c>
      <c r="G629" s="48"/>
      <c r="I629" s="48"/>
    </row>
    <row r="630" spans="1:9" x14ac:dyDescent="0.25">
      <c r="G630" s="48" t="b">
        <v>0</v>
      </c>
      <c r="I630" s="48"/>
    </row>
    <row r="631" spans="1:9" x14ac:dyDescent="0.25">
      <c r="G631" s="48" t="b">
        <v>0</v>
      </c>
      <c r="I631" s="49">
        <f>IF(G630=TRUE,2,IF(G631=TRUE,1,IF(G632=TRUE,0,0)))</f>
        <v>0</v>
      </c>
    </row>
    <row r="632" spans="1:9" x14ac:dyDescent="0.25">
      <c r="G632" s="48" t="b">
        <v>0</v>
      </c>
      <c r="I632" s="48"/>
    </row>
    <row r="633" spans="1:9" x14ac:dyDescent="0.25">
      <c r="A633" s="7" t="s">
        <v>264</v>
      </c>
      <c r="G633" s="48"/>
      <c r="I633" s="48"/>
    </row>
    <row r="634" spans="1:9" x14ac:dyDescent="0.25">
      <c r="G634" s="48" t="b">
        <v>0</v>
      </c>
      <c r="I634" s="48"/>
    </row>
    <row r="635" spans="1:9" x14ac:dyDescent="0.25">
      <c r="G635" s="48" t="b">
        <v>0</v>
      </c>
      <c r="I635" s="49">
        <f>IF(G634=TRUE,0,IF(G635=TRUE,1,IF(G636=TRUE,2,0)))</f>
        <v>0</v>
      </c>
    </row>
    <row r="636" spans="1:9" x14ac:dyDescent="0.25">
      <c r="G636" s="48" t="b">
        <v>0</v>
      </c>
      <c r="I636" s="48"/>
    </row>
    <row r="637" spans="1:9" x14ac:dyDescent="0.25">
      <c r="A637" s="7" t="s">
        <v>231</v>
      </c>
      <c r="G637" s="48"/>
      <c r="I637" s="48"/>
    </row>
    <row r="638" spans="1:9" x14ac:dyDescent="0.25">
      <c r="G638" s="48" t="b">
        <v>0</v>
      </c>
      <c r="I638" s="48"/>
    </row>
    <row r="639" spans="1:9" x14ac:dyDescent="0.25">
      <c r="G639" s="48" t="b">
        <v>0</v>
      </c>
      <c r="I639" s="49">
        <f>IF(G638=TRUE,0,IF(G639=TRUE,1,IF(G640=TRUE,2,0)))</f>
        <v>0</v>
      </c>
    </row>
    <row r="640" spans="1:9" x14ac:dyDescent="0.25">
      <c r="G640" s="48" t="b">
        <v>0</v>
      </c>
      <c r="I640" s="48"/>
    </row>
    <row r="641" spans="1:9" x14ac:dyDescent="0.25">
      <c r="A641" s="7" t="s">
        <v>232</v>
      </c>
      <c r="G641" s="48"/>
      <c r="I641" s="48"/>
    </row>
    <row r="642" spans="1:9" x14ac:dyDescent="0.25">
      <c r="G642" s="48" t="b">
        <v>0</v>
      </c>
      <c r="I642" s="48"/>
    </row>
    <row r="643" spans="1:9" x14ac:dyDescent="0.25">
      <c r="G643" s="48" t="b">
        <v>0</v>
      </c>
      <c r="I643" s="49">
        <f>IF(G642=TRUE,0,IF(G643=TRUE,1,IF(G644=TRUE,2,0)))</f>
        <v>0</v>
      </c>
    </row>
    <row r="644" spans="1:9" x14ac:dyDescent="0.25">
      <c r="G644" s="48" t="b">
        <v>0</v>
      </c>
      <c r="I644" s="48"/>
    </row>
    <row r="645" spans="1:9" x14ac:dyDescent="0.25">
      <c r="A645" s="7" t="s">
        <v>233</v>
      </c>
      <c r="G645" s="48"/>
      <c r="I645" s="48"/>
    </row>
    <row r="646" spans="1:9" x14ac:dyDescent="0.25">
      <c r="G646" s="48" t="b">
        <v>0</v>
      </c>
      <c r="I646" s="48"/>
    </row>
    <row r="647" spans="1:9" x14ac:dyDescent="0.25">
      <c r="G647" s="48" t="b">
        <v>0</v>
      </c>
      <c r="I647" s="49">
        <f>IF(G646=TRUE,2,IF(G647=TRUE,1,IF(G648=TRUE,0,0)))</f>
        <v>0</v>
      </c>
    </row>
    <row r="648" spans="1:9" x14ac:dyDescent="0.25">
      <c r="G648" s="48" t="b">
        <v>0</v>
      </c>
      <c r="I648" s="48"/>
    </row>
    <row r="649" spans="1:9" x14ac:dyDescent="0.25">
      <c r="A649" s="7" t="s">
        <v>234</v>
      </c>
      <c r="G649" s="48"/>
      <c r="I649" s="48"/>
    </row>
    <row r="650" spans="1:9" x14ac:dyDescent="0.25">
      <c r="G650" s="48" t="b">
        <v>0</v>
      </c>
      <c r="I650" s="48"/>
    </row>
    <row r="651" spans="1:9" x14ac:dyDescent="0.25">
      <c r="G651" s="48" t="b">
        <v>0</v>
      </c>
      <c r="I651" s="49">
        <f>IF(G650=TRUE,0,IF(G651=TRUE,1,IF(G652=TRUE,2,0)))</f>
        <v>0</v>
      </c>
    </row>
    <row r="652" spans="1:9" x14ac:dyDescent="0.25">
      <c r="G652" s="48" t="b">
        <v>0</v>
      </c>
      <c r="I652" s="48"/>
    </row>
    <row r="653" spans="1:9" x14ac:dyDescent="0.25">
      <c r="A653" s="7" t="s">
        <v>235</v>
      </c>
      <c r="G653" s="48"/>
      <c r="I653" s="48"/>
    </row>
    <row r="654" spans="1:9" x14ac:dyDescent="0.25">
      <c r="G654" s="48" t="b">
        <v>0</v>
      </c>
      <c r="I654" s="48"/>
    </row>
    <row r="655" spans="1:9" x14ac:dyDescent="0.25">
      <c r="G655" s="48" t="b">
        <v>0</v>
      </c>
      <c r="I655" s="49">
        <f>IF(G654=TRUE,0,IF(G655=TRUE,1,IF(G656=TRUE,2,0)))</f>
        <v>0</v>
      </c>
    </row>
    <row r="656" spans="1:9" x14ac:dyDescent="0.25">
      <c r="G656" s="48" t="b">
        <v>0</v>
      </c>
      <c r="I656" s="48"/>
    </row>
    <row r="657" spans="1:9" x14ac:dyDescent="0.25">
      <c r="A657" s="7" t="s">
        <v>236</v>
      </c>
      <c r="G657" s="48"/>
      <c r="I657" s="48"/>
    </row>
    <row r="658" spans="1:9" x14ac:dyDescent="0.25">
      <c r="G658" s="48" t="b">
        <v>0</v>
      </c>
      <c r="I658" s="48"/>
    </row>
    <row r="659" spans="1:9" x14ac:dyDescent="0.25">
      <c r="G659" s="48" t="b">
        <v>0</v>
      </c>
      <c r="I659" s="49">
        <f>IF(G658=TRUE,2,IF(G659=TRUE,1,IF(G660=TRUE,0,0)))</f>
        <v>0</v>
      </c>
    </row>
    <row r="660" spans="1:9" x14ac:dyDescent="0.25">
      <c r="G660" s="48" t="b">
        <v>0</v>
      </c>
      <c r="I660" s="48"/>
    </row>
    <row r="661" spans="1:9" x14ac:dyDescent="0.25">
      <c r="A661" s="7" t="s">
        <v>237</v>
      </c>
      <c r="G661" s="48"/>
      <c r="I661" s="48"/>
    </row>
    <row r="662" spans="1:9" x14ac:dyDescent="0.25">
      <c r="G662" s="48" t="b">
        <v>0</v>
      </c>
      <c r="I662" s="48"/>
    </row>
    <row r="663" spans="1:9" x14ac:dyDescent="0.25">
      <c r="G663" s="48" t="b">
        <v>0</v>
      </c>
      <c r="I663" s="49">
        <f>IF(G662=TRUE,2,IF(G663=TRUE,1,IF(G664=TRUE,0,0)))</f>
        <v>0</v>
      </c>
    </row>
    <row r="664" spans="1:9" x14ac:dyDescent="0.25">
      <c r="G664" s="48" t="b">
        <v>0</v>
      </c>
      <c r="I664" s="48"/>
    </row>
    <row r="665" spans="1:9" x14ac:dyDescent="0.25">
      <c r="A665" s="7" t="s">
        <v>238</v>
      </c>
      <c r="G665" s="48"/>
      <c r="I665" s="48"/>
    </row>
    <row r="666" spans="1:9" x14ac:dyDescent="0.25">
      <c r="G666" s="48" t="b">
        <v>0</v>
      </c>
      <c r="I666" s="48"/>
    </row>
    <row r="667" spans="1:9" x14ac:dyDescent="0.25">
      <c r="G667" s="48" t="b">
        <v>0</v>
      </c>
      <c r="I667" s="49">
        <f>IF(G666=TRUE,0,IF(G667=TRUE,1,IF(G668=TRUE,2,0)))</f>
        <v>0</v>
      </c>
    </row>
    <row r="668" spans="1:9" x14ac:dyDescent="0.25">
      <c r="G668" s="48" t="b">
        <v>0</v>
      </c>
      <c r="I668" s="48"/>
    </row>
    <row r="669" spans="1:9" x14ac:dyDescent="0.25">
      <c r="A669" s="7" t="s">
        <v>239</v>
      </c>
      <c r="G669" s="48"/>
      <c r="I669" s="48"/>
    </row>
    <row r="670" spans="1:9" x14ac:dyDescent="0.25">
      <c r="G670" s="48" t="b">
        <v>0</v>
      </c>
      <c r="I670" s="48"/>
    </row>
    <row r="671" spans="1:9" x14ac:dyDescent="0.25">
      <c r="G671" s="48" t="b">
        <v>0</v>
      </c>
      <c r="I671" s="49">
        <f>IF(G670=TRUE,0,IF(G671=TRUE,1,IF(G672=TRUE,2,0)))</f>
        <v>0</v>
      </c>
    </row>
    <row r="672" spans="1:9" x14ac:dyDescent="0.25">
      <c r="G672" s="48" t="b">
        <v>0</v>
      </c>
      <c r="I672" s="48"/>
    </row>
    <row r="673" spans="1:9" x14ac:dyDescent="0.25">
      <c r="A673" s="7" t="s">
        <v>240</v>
      </c>
      <c r="G673" s="48"/>
      <c r="I673" s="48"/>
    </row>
    <row r="674" spans="1:9" x14ac:dyDescent="0.25">
      <c r="G674" s="48" t="b">
        <v>0</v>
      </c>
      <c r="I674" s="48"/>
    </row>
    <row r="675" spans="1:9" x14ac:dyDescent="0.25">
      <c r="G675" s="48" t="b">
        <v>0</v>
      </c>
      <c r="I675" s="49">
        <f>IF(G674=TRUE,2,IF(G675=TRUE,1,IF(G676=TRUE,0,0)))</f>
        <v>0</v>
      </c>
    </row>
    <row r="676" spans="1:9" x14ac:dyDescent="0.25">
      <c r="G676" s="48" t="b">
        <v>0</v>
      </c>
      <c r="I676" s="48"/>
    </row>
    <row r="677" spans="1:9" x14ac:dyDescent="0.25">
      <c r="A677" s="7" t="s">
        <v>241</v>
      </c>
      <c r="G677" s="48"/>
      <c r="I677" s="48"/>
    </row>
    <row r="678" spans="1:9" x14ac:dyDescent="0.25">
      <c r="G678" s="48" t="b">
        <v>0</v>
      </c>
      <c r="I678" s="48"/>
    </row>
    <row r="679" spans="1:9" x14ac:dyDescent="0.25">
      <c r="G679" s="48" t="b">
        <v>0</v>
      </c>
      <c r="I679" s="49">
        <f>IF(G678=TRUE,0,IF(G679=TRUE,1,IF(G680=TRUE,2,0)))</f>
        <v>0</v>
      </c>
    </row>
    <row r="680" spans="1:9" x14ac:dyDescent="0.25">
      <c r="G680" s="48" t="b">
        <v>0</v>
      </c>
      <c r="I680" s="48"/>
    </row>
    <row r="681" spans="1:9" x14ac:dyDescent="0.25">
      <c r="A681" s="7" t="s">
        <v>242</v>
      </c>
      <c r="G681" s="48"/>
      <c r="I681" s="48"/>
    </row>
    <row r="682" spans="1:9" x14ac:dyDescent="0.25">
      <c r="G682" s="48" t="b">
        <v>0</v>
      </c>
      <c r="I682" s="48"/>
    </row>
    <row r="683" spans="1:9" x14ac:dyDescent="0.25">
      <c r="G683" s="48" t="b">
        <v>0</v>
      </c>
      <c r="I683" s="49">
        <f>IF(G682=TRUE,2,IF(G683=TRUE,1,IF(G684=TRUE,0,0)))</f>
        <v>0</v>
      </c>
    </row>
    <row r="684" spans="1:9" x14ac:dyDescent="0.25">
      <c r="G684" s="48" t="b">
        <v>0</v>
      </c>
      <c r="I684" s="48"/>
    </row>
    <row r="685" spans="1:9" x14ac:dyDescent="0.25">
      <c r="A685" s="7" t="s">
        <v>243</v>
      </c>
      <c r="G685" s="48"/>
      <c r="I685" s="48"/>
    </row>
    <row r="686" spans="1:9" x14ac:dyDescent="0.25">
      <c r="G686" s="48" t="b">
        <v>0</v>
      </c>
      <c r="I686" s="48"/>
    </row>
    <row r="687" spans="1:9" x14ac:dyDescent="0.25">
      <c r="G687" s="48" t="b">
        <v>0</v>
      </c>
      <c r="I687" s="49">
        <f>IF(G686=TRUE,0,IF(G687=TRUE,1,IF(G688=TRUE,2,0)))</f>
        <v>0</v>
      </c>
    </row>
    <row r="688" spans="1:9" x14ac:dyDescent="0.25">
      <c r="G688" s="48" t="b">
        <v>0</v>
      </c>
      <c r="I688" s="48"/>
    </row>
    <row r="689" spans="1:9" x14ac:dyDescent="0.25">
      <c r="A689" s="7" t="s">
        <v>244</v>
      </c>
      <c r="G689" s="48"/>
      <c r="I689" s="48"/>
    </row>
    <row r="690" spans="1:9" x14ac:dyDescent="0.25">
      <c r="G690" s="48" t="b">
        <v>0</v>
      </c>
      <c r="I690" s="48"/>
    </row>
    <row r="691" spans="1:9" x14ac:dyDescent="0.25">
      <c r="G691" s="48" t="b">
        <v>0</v>
      </c>
      <c r="I691" s="49">
        <f>IF(G690=TRUE,2,IF(G691=TRUE,1,IF(G692=TRUE,0,0)))</f>
        <v>0</v>
      </c>
    </row>
    <row r="692" spans="1:9" x14ac:dyDescent="0.25">
      <c r="G692" s="48" t="b">
        <v>0</v>
      </c>
      <c r="I692" s="48"/>
    </row>
    <row r="693" spans="1:9" x14ac:dyDescent="0.25">
      <c r="A693" s="7" t="s">
        <v>245</v>
      </c>
      <c r="G693" s="48"/>
      <c r="I693" s="48"/>
    </row>
    <row r="694" spans="1:9" x14ac:dyDescent="0.25">
      <c r="G694" s="48" t="b">
        <v>0</v>
      </c>
      <c r="I694" s="48"/>
    </row>
    <row r="695" spans="1:9" x14ac:dyDescent="0.25">
      <c r="G695" s="48" t="b">
        <v>0</v>
      </c>
      <c r="I695" s="49">
        <f>IF(G694=TRUE,0,IF(G695=TRUE,1,IF(G696=TRUE,2,0)))</f>
        <v>0</v>
      </c>
    </row>
    <row r="696" spans="1:9" x14ac:dyDescent="0.25">
      <c r="G696" s="48" t="b">
        <v>0</v>
      </c>
      <c r="I696" s="48"/>
    </row>
    <row r="697" spans="1:9" x14ac:dyDescent="0.25">
      <c r="A697" s="7" t="s">
        <v>246</v>
      </c>
      <c r="G697" s="48"/>
      <c r="I697" s="48"/>
    </row>
    <row r="698" spans="1:9" x14ac:dyDescent="0.25">
      <c r="G698" s="48" t="b">
        <v>0</v>
      </c>
      <c r="I698" s="48"/>
    </row>
    <row r="699" spans="1:9" x14ac:dyDescent="0.25">
      <c r="G699" s="48" t="b">
        <v>0</v>
      </c>
      <c r="I699" s="49">
        <f>IF(G698=TRUE,2,IF(G699=TRUE,1,IF(G700=TRUE,0,0)))</f>
        <v>0</v>
      </c>
    </row>
    <row r="700" spans="1:9" x14ac:dyDescent="0.25">
      <c r="G700" s="48" t="b">
        <v>0</v>
      </c>
      <c r="I700" s="48"/>
    </row>
    <row r="701" spans="1:9" x14ac:dyDescent="0.25">
      <c r="A701" s="7" t="s">
        <v>247</v>
      </c>
      <c r="G701" s="48"/>
      <c r="I701" s="48"/>
    </row>
    <row r="702" spans="1:9" x14ac:dyDescent="0.25">
      <c r="G702" s="48" t="b">
        <v>0</v>
      </c>
      <c r="I702" s="48"/>
    </row>
    <row r="703" spans="1:9" x14ac:dyDescent="0.25">
      <c r="G703" s="48" t="b">
        <v>0</v>
      </c>
      <c r="I703" s="49">
        <f>IF(G702=TRUE,2,IF(G703=TRUE,1,IF(G704=TRUE,0,0)))</f>
        <v>0</v>
      </c>
    </row>
    <row r="704" spans="1:9" x14ac:dyDescent="0.25">
      <c r="G704" s="48" t="b">
        <v>0</v>
      </c>
      <c r="I704" s="48"/>
    </row>
    <row r="705" spans="1:9" x14ac:dyDescent="0.25">
      <c r="A705" s="7" t="s">
        <v>248</v>
      </c>
      <c r="G705" s="48"/>
      <c r="I705" s="48"/>
    </row>
    <row r="706" spans="1:9" x14ac:dyDescent="0.25">
      <c r="G706" s="48" t="b">
        <v>0</v>
      </c>
      <c r="I706" s="48"/>
    </row>
    <row r="707" spans="1:9" x14ac:dyDescent="0.25">
      <c r="G707" s="48" t="b">
        <v>0</v>
      </c>
      <c r="I707" s="49">
        <f>IF(G706=TRUE,0,IF(G707=TRUE,1,IF(G708=TRUE,2,0)))</f>
        <v>0</v>
      </c>
    </row>
    <row r="708" spans="1:9" x14ac:dyDescent="0.25">
      <c r="G708" s="48" t="b">
        <v>0</v>
      </c>
      <c r="I708" s="48"/>
    </row>
    <row r="709" spans="1:9" x14ac:dyDescent="0.25">
      <c r="A709" s="7" t="s">
        <v>249</v>
      </c>
      <c r="G709" s="48"/>
      <c r="I709" s="48"/>
    </row>
    <row r="710" spans="1:9" x14ac:dyDescent="0.25">
      <c r="G710" s="48" t="b">
        <v>0</v>
      </c>
      <c r="I710" s="49"/>
    </row>
    <row r="711" spans="1:9" x14ac:dyDescent="0.25">
      <c r="G711" s="48" t="b">
        <v>0</v>
      </c>
      <c r="I711" s="49">
        <f>IF(G710=TRUE,2,IF(G711=TRUE,1,IF(G712=TRUE,0,0)))</f>
        <v>0</v>
      </c>
    </row>
    <row r="712" spans="1:9" x14ac:dyDescent="0.25">
      <c r="G712" s="48" t="b">
        <v>0</v>
      </c>
      <c r="I712" s="48"/>
    </row>
    <row r="713" spans="1:9" x14ac:dyDescent="0.25">
      <c r="A713" s="7" t="s">
        <v>250</v>
      </c>
      <c r="G713" s="48"/>
      <c r="I713" s="48"/>
    </row>
    <row r="714" spans="1:9" x14ac:dyDescent="0.25">
      <c r="G714" s="48" t="b">
        <v>0</v>
      </c>
      <c r="I714" s="48"/>
    </row>
    <row r="715" spans="1:9" x14ac:dyDescent="0.25">
      <c r="G715" s="48" t="b">
        <v>0</v>
      </c>
      <c r="I715" s="49">
        <f>IF(G714=TRUE,1,IF(G715=TRUE,0,IF(G716=TRUE,0,0)))</f>
        <v>0</v>
      </c>
    </row>
    <row r="716" spans="1:9" x14ac:dyDescent="0.25">
      <c r="G716" s="48" t="b">
        <v>0</v>
      </c>
      <c r="I716" s="48"/>
    </row>
    <row r="717" spans="1:9" x14ac:dyDescent="0.25">
      <c r="A717" s="7" t="s">
        <v>251</v>
      </c>
      <c r="G717" s="48"/>
      <c r="I717" s="48"/>
    </row>
    <row r="718" spans="1:9" x14ac:dyDescent="0.25">
      <c r="G718" s="48" t="b">
        <v>0</v>
      </c>
      <c r="I718" s="48"/>
    </row>
    <row r="719" spans="1:9" x14ac:dyDescent="0.25">
      <c r="G719" s="48" t="b">
        <v>0</v>
      </c>
      <c r="I719" s="49">
        <f>IF(G718=TRUE,1,IF(G719=TRUE,0,IF(G720=TRUE,0,0)))</f>
        <v>0</v>
      </c>
    </row>
    <row r="720" spans="1:9" x14ac:dyDescent="0.25">
      <c r="G720" s="48" t="b">
        <v>0</v>
      </c>
      <c r="I720" s="48"/>
    </row>
    <row r="721" spans="1:9" x14ac:dyDescent="0.25">
      <c r="A721" s="7" t="s">
        <v>252</v>
      </c>
      <c r="G721" s="48"/>
      <c r="I721" s="48"/>
    </row>
    <row r="722" spans="1:9" x14ac:dyDescent="0.25">
      <c r="G722" s="48" t="b">
        <v>0</v>
      </c>
      <c r="I722" s="48"/>
    </row>
    <row r="723" spans="1:9" x14ac:dyDescent="0.25">
      <c r="G723" s="48" t="b">
        <v>0</v>
      </c>
      <c r="I723" s="49">
        <f>IF(G722=TRUE,2,IF(G723=TRUE,1,IF(G724=TRUE,0,0)))</f>
        <v>0</v>
      </c>
    </row>
    <row r="724" spans="1:9" x14ac:dyDescent="0.25">
      <c r="G724" s="48" t="b">
        <v>0</v>
      </c>
      <c r="I724" s="48"/>
    </row>
    <row r="725" spans="1:9" x14ac:dyDescent="0.25">
      <c r="A725" s="7" t="s">
        <v>253</v>
      </c>
      <c r="G725" s="48"/>
      <c r="I725" s="48"/>
    </row>
    <row r="726" spans="1:9" x14ac:dyDescent="0.25">
      <c r="G726" s="48" t="b">
        <v>0</v>
      </c>
      <c r="I726" s="48"/>
    </row>
    <row r="727" spans="1:9" x14ac:dyDescent="0.25">
      <c r="G727" s="48" t="b">
        <v>0</v>
      </c>
      <c r="I727" s="49">
        <f>IF(G726=TRUE,2,IF(G727=TRUE,1,IF(G728=TRUE,0,0)))</f>
        <v>0</v>
      </c>
    </row>
    <row r="728" spans="1:9" x14ac:dyDescent="0.25">
      <c r="G728" s="48" t="b">
        <v>0</v>
      </c>
      <c r="I728" s="48"/>
    </row>
    <row r="729" spans="1:9" x14ac:dyDescent="0.25">
      <c r="A729" s="7" t="s">
        <v>254</v>
      </c>
      <c r="G729" s="48"/>
      <c r="I729" s="48"/>
    </row>
    <row r="730" spans="1:9" x14ac:dyDescent="0.25">
      <c r="G730" s="48" t="b">
        <v>0</v>
      </c>
      <c r="I730" s="48"/>
    </row>
    <row r="731" spans="1:9" x14ac:dyDescent="0.25">
      <c r="G731" s="48" t="b">
        <v>0</v>
      </c>
      <c r="I731" s="49">
        <f>IF(G730=TRUE,2,IF(G731=TRUE,1,IF(G732=TRUE,0,0)))</f>
        <v>0</v>
      </c>
    </row>
    <row r="732" spans="1:9" x14ac:dyDescent="0.25">
      <c r="G732" s="48" t="b">
        <v>0</v>
      </c>
      <c r="I732" s="48"/>
    </row>
    <row r="733" spans="1:9" x14ac:dyDescent="0.25">
      <c r="A733" s="7" t="s">
        <v>255</v>
      </c>
      <c r="G733" s="48"/>
      <c r="I733" s="48"/>
    </row>
    <row r="734" spans="1:9" x14ac:dyDescent="0.25">
      <c r="G734" s="48" t="b">
        <v>0</v>
      </c>
      <c r="I734" s="48"/>
    </row>
    <row r="735" spans="1:9" x14ac:dyDescent="0.25">
      <c r="G735" s="48" t="b">
        <v>0</v>
      </c>
      <c r="I735" s="49">
        <f>IF(G734=TRUE,2,IF(G735=TRUE,1,IF(G736=TRUE,0,0)))</f>
        <v>0</v>
      </c>
    </row>
    <row r="736" spans="1:9" x14ac:dyDescent="0.25">
      <c r="G736" s="48" t="b">
        <v>0</v>
      </c>
      <c r="I736" s="48"/>
    </row>
    <row r="737" spans="1:9" x14ac:dyDescent="0.25">
      <c r="A737" s="7" t="s">
        <v>256</v>
      </c>
      <c r="G737" s="48"/>
      <c r="I737" s="48"/>
    </row>
    <row r="738" spans="1:9" x14ac:dyDescent="0.25">
      <c r="G738" s="48" t="b">
        <v>0</v>
      </c>
      <c r="I738" s="48"/>
    </row>
    <row r="739" spans="1:9" x14ac:dyDescent="0.25">
      <c r="G739" s="48" t="b">
        <v>0</v>
      </c>
      <c r="I739" s="49">
        <f>IF(G738=TRUE,2,IF(G739=TRUE,1,IF(G740=TRUE,0,0)))</f>
        <v>0</v>
      </c>
    </row>
    <row r="740" spans="1:9" x14ac:dyDescent="0.25">
      <c r="G740" s="48" t="b">
        <v>0</v>
      </c>
      <c r="I740" s="48"/>
    </row>
    <row r="741" spans="1:9" x14ac:dyDescent="0.25">
      <c r="A741" s="7" t="s">
        <v>257</v>
      </c>
      <c r="G741" s="48"/>
      <c r="I741" s="48"/>
    </row>
    <row r="742" spans="1:9" x14ac:dyDescent="0.25">
      <c r="G742" s="48" t="b">
        <v>0</v>
      </c>
      <c r="I742" s="48"/>
    </row>
    <row r="743" spans="1:9" x14ac:dyDescent="0.25">
      <c r="G743" s="48" t="b">
        <v>0</v>
      </c>
      <c r="I743" s="49">
        <f>IF(G742=TRUE,2,IF(G743=TRUE,1,IF(G744=TRUE,0,0)))</f>
        <v>0</v>
      </c>
    </row>
    <row r="744" spans="1:9" x14ac:dyDescent="0.25">
      <c r="G744" s="48" t="b">
        <v>0</v>
      </c>
      <c r="I744" s="48"/>
    </row>
    <row r="745" spans="1:9" x14ac:dyDescent="0.25">
      <c r="A745" s="7" t="s">
        <v>258</v>
      </c>
      <c r="G745" s="48"/>
      <c r="I745" s="48"/>
    </row>
    <row r="746" spans="1:9" x14ac:dyDescent="0.25">
      <c r="G746" s="48" t="b">
        <v>0</v>
      </c>
      <c r="I746" s="48"/>
    </row>
    <row r="747" spans="1:9" x14ac:dyDescent="0.25">
      <c r="G747" s="48" t="b">
        <v>0</v>
      </c>
      <c r="I747" s="49">
        <f>IF(G746=TRUE,2,IF(G747=TRUE,1,IF(G748=TRUE,0,0)))</f>
        <v>0</v>
      </c>
    </row>
    <row r="748" spans="1:9" x14ac:dyDescent="0.25">
      <c r="G748" s="48" t="b">
        <v>0</v>
      </c>
      <c r="I748" s="48"/>
    </row>
    <row r="749" spans="1:9" x14ac:dyDescent="0.25">
      <c r="A749" s="7" t="s">
        <v>259</v>
      </c>
      <c r="G749" s="48"/>
      <c r="I749" s="48"/>
    </row>
    <row r="750" spans="1:9" x14ac:dyDescent="0.25">
      <c r="G750" s="48" t="b">
        <v>0</v>
      </c>
      <c r="I750" s="48"/>
    </row>
    <row r="751" spans="1:9" x14ac:dyDescent="0.25">
      <c r="G751" s="48" t="b">
        <v>0</v>
      </c>
      <c r="I751" s="49">
        <f>IF(G750=TRUE,2,IF(G751=TRUE,1,IF(G752=TRUE,0,0)))</f>
        <v>0</v>
      </c>
    </row>
    <row r="752" spans="1:9" x14ac:dyDescent="0.25">
      <c r="G752" s="48" t="b">
        <v>0</v>
      </c>
    </row>
    <row r="753" spans="1:7" x14ac:dyDescent="0.25">
      <c r="A753" s="7" t="s">
        <v>260</v>
      </c>
      <c r="G753" s="48"/>
    </row>
    <row r="754" spans="1:7" x14ac:dyDescent="0.25">
      <c r="G754" s="48" t="b">
        <v>0</v>
      </c>
    </row>
    <row r="755" spans="1:7" x14ac:dyDescent="0.25">
      <c r="G755" s="48" t="b">
        <v>0</v>
      </c>
    </row>
    <row r="756" spans="1:7" x14ac:dyDescent="0.25">
      <c r="G756" s="48" t="b">
        <v>0</v>
      </c>
    </row>
    <row r="757" spans="1:7" x14ac:dyDescent="0.25">
      <c r="G757" s="48"/>
    </row>
    <row r="762" spans="1:7" x14ac:dyDescent="0.25">
      <c r="E762" s="11"/>
    </row>
  </sheetData>
  <sheetProtection algorithmName="SHA-512" hashValue="t0Fvqe1HnJMTLn/mn5xSQReRX1iUEIyDd8hzbDFCnoww+fO1eyTFN7964o3u9s9teHAIlwKTq+vOwx24KmA3zA==" saltValue="n+DoaTubFRw/eu8yhGJE8A==" spinCount="100000" sheet="1" objects="1" scenarios="1"/>
  <mergeCells count="4">
    <mergeCell ref="A2:H3"/>
    <mergeCell ref="F5:G5"/>
    <mergeCell ref="A5:B5"/>
    <mergeCell ref="C5:E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142875</xdr:rowOff>
                  </from>
                  <to>
                    <xdr:col>0</xdr:col>
                    <xdr:colOff>762000</xdr:colOff>
                    <xdr:row>118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117</xdr:row>
                    <xdr:rowOff>133350</xdr:rowOff>
                  </from>
                  <to>
                    <xdr:col>2</xdr:col>
                    <xdr:colOff>723900</xdr:colOff>
                    <xdr:row>118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locked="0" defaultSize="0" autoFill="0" autoLine="0" autoPict="0">
                <anchor moveWithCells="1">
                  <from>
                    <xdr:col>3</xdr:col>
                    <xdr:colOff>723900</xdr:colOff>
                    <xdr:row>117</xdr:row>
                    <xdr:rowOff>133350</xdr:rowOff>
                  </from>
                  <to>
                    <xdr:col>4</xdr:col>
                    <xdr:colOff>723900</xdr:colOff>
                    <xdr:row>118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locked="0"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142875</xdr:rowOff>
                  </from>
                  <to>
                    <xdr:col>0</xdr:col>
                    <xdr:colOff>714375</xdr:colOff>
                    <xdr:row>122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121</xdr:row>
                    <xdr:rowOff>142875</xdr:rowOff>
                  </from>
                  <to>
                    <xdr:col>3</xdr:col>
                    <xdr:colOff>161925</xdr:colOff>
                    <xdr:row>122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locked="0" defaultSize="0" autoFill="0" autoLine="0" autoPict="0">
                <anchor moveWithCells="1">
                  <from>
                    <xdr:col>3</xdr:col>
                    <xdr:colOff>723900</xdr:colOff>
                    <xdr:row>121</xdr:row>
                    <xdr:rowOff>142875</xdr:rowOff>
                  </from>
                  <to>
                    <xdr:col>4</xdr:col>
                    <xdr:colOff>666750</xdr:colOff>
                    <xdr:row>122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locked="0" defaultSize="0" autoFill="0" autoLine="0" autoPict="0" altText="Si">
                <anchor moveWithCells="1">
                  <from>
                    <xdr:col>0</xdr:col>
                    <xdr:colOff>0</xdr:colOff>
                    <xdr:row>9</xdr:row>
                    <xdr:rowOff>133350</xdr:rowOff>
                  </from>
                  <to>
                    <xdr:col>1</xdr:col>
                    <xdr:colOff>9525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9</xdr:row>
                    <xdr:rowOff>142875</xdr:rowOff>
                  </from>
                  <to>
                    <xdr:col>3</xdr:col>
                    <xdr:colOff>47625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9</xdr:row>
                    <xdr:rowOff>133350</xdr:rowOff>
                  </from>
                  <to>
                    <xdr:col>5</xdr:col>
                    <xdr:colOff>9525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133350</xdr:rowOff>
                  </from>
                  <to>
                    <xdr:col>1</xdr:col>
                    <xdr:colOff>9525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13</xdr:row>
                    <xdr:rowOff>142875</xdr:rowOff>
                  </from>
                  <to>
                    <xdr:col>3</xdr:col>
                    <xdr:colOff>47625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13</xdr:row>
                    <xdr:rowOff>133350</xdr:rowOff>
                  </from>
                  <to>
                    <xdr:col>5</xdr:col>
                    <xdr:colOff>9525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Check Box 1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152400</xdr:rowOff>
                  </from>
                  <to>
                    <xdr:col>1</xdr:col>
                    <xdr:colOff>704850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17</xdr:row>
                    <xdr:rowOff>142875</xdr:rowOff>
                  </from>
                  <to>
                    <xdr:col>3</xdr:col>
                    <xdr:colOff>47625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17</xdr:row>
                    <xdr:rowOff>104775</xdr:rowOff>
                  </from>
                  <to>
                    <xdr:col>5</xdr:col>
                    <xdr:colOff>685800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133350</xdr:rowOff>
                  </from>
                  <to>
                    <xdr:col>1</xdr:col>
                    <xdr:colOff>9525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21</xdr:row>
                    <xdr:rowOff>142875</xdr:rowOff>
                  </from>
                  <to>
                    <xdr:col>3</xdr:col>
                    <xdr:colOff>47625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Check Box 1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21</xdr:row>
                    <xdr:rowOff>133350</xdr:rowOff>
                  </from>
                  <to>
                    <xdr:col>5</xdr:col>
                    <xdr:colOff>9525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Check Box 1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133350</xdr:rowOff>
                  </from>
                  <to>
                    <xdr:col>1</xdr:col>
                    <xdr:colOff>9525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Check Box 2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25</xdr:row>
                    <xdr:rowOff>142875</xdr:rowOff>
                  </from>
                  <to>
                    <xdr:col>3</xdr:col>
                    <xdr:colOff>47625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Check Box 2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25</xdr:row>
                    <xdr:rowOff>133350</xdr:rowOff>
                  </from>
                  <to>
                    <xdr:col>5</xdr:col>
                    <xdr:colOff>9525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Check Box 2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133350</xdr:rowOff>
                  </from>
                  <to>
                    <xdr:col>1</xdr:col>
                    <xdr:colOff>9525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Check Box 2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29</xdr:row>
                    <xdr:rowOff>142875</xdr:rowOff>
                  </from>
                  <to>
                    <xdr:col>3</xdr:col>
                    <xdr:colOff>47625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Check Box 2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29</xdr:row>
                    <xdr:rowOff>133350</xdr:rowOff>
                  </from>
                  <to>
                    <xdr:col>5</xdr:col>
                    <xdr:colOff>9525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Check Box 2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133350</xdr:rowOff>
                  </from>
                  <to>
                    <xdr:col>1</xdr:col>
                    <xdr:colOff>9525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Check Box 2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33</xdr:row>
                    <xdr:rowOff>142875</xdr:rowOff>
                  </from>
                  <to>
                    <xdr:col>3</xdr:col>
                    <xdr:colOff>47625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Check Box 2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33</xdr:row>
                    <xdr:rowOff>133350</xdr:rowOff>
                  </from>
                  <to>
                    <xdr:col>5</xdr:col>
                    <xdr:colOff>9525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Check Box 2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133350</xdr:rowOff>
                  </from>
                  <to>
                    <xdr:col>1</xdr:col>
                    <xdr:colOff>666750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Check Box 2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37</xdr:row>
                    <xdr:rowOff>142875</xdr:rowOff>
                  </from>
                  <to>
                    <xdr:col>3</xdr:col>
                    <xdr:colOff>47625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Check Box 3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37</xdr:row>
                    <xdr:rowOff>133350</xdr:rowOff>
                  </from>
                  <to>
                    <xdr:col>5</xdr:col>
                    <xdr:colOff>161925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Check Box 3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171450</xdr:rowOff>
                  </from>
                  <to>
                    <xdr:col>1</xdr:col>
                    <xdr:colOff>457200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Check Box 3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41</xdr:row>
                    <xdr:rowOff>142875</xdr:rowOff>
                  </from>
                  <to>
                    <xdr:col>3</xdr:col>
                    <xdr:colOff>571500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Check Box 33">
              <controlPr locked="0" defaultSize="0" autoFill="0" autoLine="0" autoPict="0">
                <anchor moveWithCells="1">
                  <from>
                    <xdr:col>3</xdr:col>
                    <xdr:colOff>676275</xdr:colOff>
                    <xdr:row>40</xdr:row>
                    <xdr:rowOff>152400</xdr:rowOff>
                  </from>
                  <to>
                    <xdr:col>5</xdr:col>
                    <xdr:colOff>466725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Check Box 3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133350</xdr:rowOff>
                  </from>
                  <to>
                    <xdr:col>1</xdr:col>
                    <xdr:colOff>581025</xdr:colOff>
                    <xdr:row>46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Check Box 35">
              <controlPr locked="0" defaultSize="0" autoFill="0" autoLine="0" autoPict="0">
                <anchor moveWithCells="1">
                  <from>
                    <xdr:col>1</xdr:col>
                    <xdr:colOff>714375</xdr:colOff>
                    <xdr:row>45</xdr:row>
                    <xdr:rowOff>66675</xdr:rowOff>
                  </from>
                  <to>
                    <xdr:col>3</xdr:col>
                    <xdr:colOff>438150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Check Box 3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45</xdr:row>
                    <xdr:rowOff>133350</xdr:rowOff>
                  </from>
                  <to>
                    <xdr:col>6</xdr:col>
                    <xdr:colOff>381000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Check Box 3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133350</xdr:rowOff>
                  </from>
                  <to>
                    <xdr:col>1</xdr:col>
                    <xdr:colOff>581025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Check Box 3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49</xdr:row>
                    <xdr:rowOff>142875</xdr:rowOff>
                  </from>
                  <to>
                    <xdr:col>3</xdr:col>
                    <xdr:colOff>47625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Check Box 3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49</xdr:row>
                    <xdr:rowOff>133350</xdr:rowOff>
                  </from>
                  <to>
                    <xdr:col>6</xdr:col>
                    <xdr:colOff>371475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Check Box 4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133350</xdr:rowOff>
                  </from>
                  <to>
                    <xdr:col>1</xdr:col>
                    <xdr:colOff>9525</xdr:colOff>
                    <xdr:row>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Check Box 4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53</xdr:row>
                    <xdr:rowOff>142875</xdr:rowOff>
                  </from>
                  <to>
                    <xdr:col>3</xdr:col>
                    <xdr:colOff>47625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Check Box 4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53</xdr:row>
                    <xdr:rowOff>133350</xdr:rowOff>
                  </from>
                  <to>
                    <xdr:col>5</xdr:col>
                    <xdr:colOff>9525</xdr:colOff>
                    <xdr:row>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Check Box 4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133350</xdr:rowOff>
                  </from>
                  <to>
                    <xdr:col>1</xdr:col>
                    <xdr:colOff>9525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Check Box 4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57</xdr:row>
                    <xdr:rowOff>142875</xdr:rowOff>
                  </from>
                  <to>
                    <xdr:col>3</xdr:col>
                    <xdr:colOff>47625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Check Box 4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57</xdr:row>
                    <xdr:rowOff>133350</xdr:rowOff>
                  </from>
                  <to>
                    <xdr:col>5</xdr:col>
                    <xdr:colOff>9525</xdr:colOff>
                    <xdr:row>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Check Box 4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133350</xdr:rowOff>
                  </from>
                  <to>
                    <xdr:col>1</xdr:col>
                    <xdr:colOff>9525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Check Box 4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61</xdr:row>
                    <xdr:rowOff>142875</xdr:rowOff>
                  </from>
                  <to>
                    <xdr:col>3</xdr:col>
                    <xdr:colOff>47625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Check Box 4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61</xdr:row>
                    <xdr:rowOff>133350</xdr:rowOff>
                  </from>
                  <to>
                    <xdr:col>5</xdr:col>
                    <xdr:colOff>9525</xdr:colOff>
                    <xdr:row>62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Check Box 4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133350</xdr:rowOff>
                  </from>
                  <to>
                    <xdr:col>1</xdr:col>
                    <xdr:colOff>723900</xdr:colOff>
                    <xdr:row>66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Check Box 5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65</xdr:row>
                    <xdr:rowOff>142875</xdr:rowOff>
                  </from>
                  <to>
                    <xdr:col>3</xdr:col>
                    <xdr:colOff>47625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Check Box 51">
              <controlPr locked="0" defaultSize="0" autoFill="0" autoLine="0" autoPict="0">
                <anchor moveWithCells="1">
                  <from>
                    <xdr:col>3</xdr:col>
                    <xdr:colOff>723900</xdr:colOff>
                    <xdr:row>65</xdr:row>
                    <xdr:rowOff>9525</xdr:rowOff>
                  </from>
                  <to>
                    <xdr:col>5</xdr:col>
                    <xdr:colOff>619125</xdr:colOff>
                    <xdr:row>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Check Box 5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133350</xdr:rowOff>
                  </from>
                  <to>
                    <xdr:col>1</xdr:col>
                    <xdr:colOff>9525</xdr:colOff>
                    <xdr:row>70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Check Box 5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69</xdr:row>
                    <xdr:rowOff>142875</xdr:rowOff>
                  </from>
                  <to>
                    <xdr:col>3</xdr:col>
                    <xdr:colOff>47625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Check Box 5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69</xdr:row>
                    <xdr:rowOff>133350</xdr:rowOff>
                  </from>
                  <to>
                    <xdr:col>5</xdr:col>
                    <xdr:colOff>9525</xdr:colOff>
                    <xdr:row>70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Check Box 55">
              <controlPr locked="0" defaultSize="0" autoFill="0" autoLine="0" autoPict="0">
                <anchor moveWithCells="1">
                  <from>
                    <xdr:col>0</xdr:col>
                    <xdr:colOff>19050</xdr:colOff>
                    <xdr:row>73</xdr:row>
                    <xdr:rowOff>66675</xdr:rowOff>
                  </from>
                  <to>
                    <xdr:col>1</xdr:col>
                    <xdr:colOff>438150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Check Box 5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73</xdr:row>
                    <xdr:rowOff>142875</xdr:rowOff>
                  </from>
                  <to>
                    <xdr:col>3</xdr:col>
                    <xdr:colOff>47625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Check Box 5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73</xdr:row>
                    <xdr:rowOff>133350</xdr:rowOff>
                  </from>
                  <to>
                    <xdr:col>5</xdr:col>
                    <xdr:colOff>790575</xdr:colOff>
                    <xdr:row>74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Check Box 5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133350</xdr:rowOff>
                  </from>
                  <to>
                    <xdr:col>1</xdr:col>
                    <xdr:colOff>9525</xdr:colOff>
                    <xdr:row>78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Check Box 5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77</xdr:row>
                    <xdr:rowOff>142875</xdr:rowOff>
                  </from>
                  <to>
                    <xdr:col>3</xdr:col>
                    <xdr:colOff>47625</xdr:colOff>
                    <xdr:row>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Check Box 6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77</xdr:row>
                    <xdr:rowOff>133350</xdr:rowOff>
                  </from>
                  <to>
                    <xdr:col>5</xdr:col>
                    <xdr:colOff>9525</xdr:colOff>
                    <xdr:row>78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Check Box 6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133350</xdr:rowOff>
                  </from>
                  <to>
                    <xdr:col>1</xdr:col>
                    <xdr:colOff>9525</xdr:colOff>
                    <xdr:row>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Check Box 6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81</xdr:row>
                    <xdr:rowOff>142875</xdr:rowOff>
                  </from>
                  <to>
                    <xdr:col>3</xdr:col>
                    <xdr:colOff>47625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Check Box 6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81</xdr:row>
                    <xdr:rowOff>133350</xdr:rowOff>
                  </from>
                  <to>
                    <xdr:col>5</xdr:col>
                    <xdr:colOff>9525</xdr:colOff>
                    <xdr:row>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Check Box 6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133350</xdr:rowOff>
                  </from>
                  <to>
                    <xdr:col>1</xdr:col>
                    <xdr:colOff>723900</xdr:colOff>
                    <xdr:row>86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Check Box 6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85</xdr:row>
                    <xdr:rowOff>142875</xdr:rowOff>
                  </from>
                  <to>
                    <xdr:col>3</xdr:col>
                    <xdr:colOff>47625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Check Box 6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85</xdr:row>
                    <xdr:rowOff>133350</xdr:rowOff>
                  </from>
                  <to>
                    <xdr:col>6</xdr:col>
                    <xdr:colOff>171450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Check Box 6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95250</xdr:rowOff>
                  </from>
                  <to>
                    <xdr:col>1</xdr:col>
                    <xdr:colOff>723900</xdr:colOff>
                    <xdr:row>91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Check Box 6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89</xdr:row>
                    <xdr:rowOff>142875</xdr:rowOff>
                  </from>
                  <to>
                    <xdr:col>3</xdr:col>
                    <xdr:colOff>114300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Check Box 6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89</xdr:row>
                    <xdr:rowOff>133350</xdr:rowOff>
                  </from>
                  <to>
                    <xdr:col>5</xdr:col>
                    <xdr:colOff>609600</xdr:colOff>
                    <xdr:row>91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Check Box 7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133350</xdr:rowOff>
                  </from>
                  <to>
                    <xdr:col>1</xdr:col>
                    <xdr:colOff>9525</xdr:colOff>
                    <xdr:row>94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Check Box 7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93</xdr:row>
                    <xdr:rowOff>142875</xdr:rowOff>
                  </from>
                  <to>
                    <xdr:col>3</xdr:col>
                    <xdr:colOff>47625</xdr:colOff>
                    <xdr:row>94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Check Box 7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93</xdr:row>
                    <xdr:rowOff>133350</xdr:rowOff>
                  </from>
                  <to>
                    <xdr:col>5</xdr:col>
                    <xdr:colOff>9525</xdr:colOff>
                    <xdr:row>94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Check Box 7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133350</xdr:rowOff>
                  </from>
                  <to>
                    <xdr:col>1</xdr:col>
                    <xdr:colOff>9525</xdr:colOff>
                    <xdr:row>98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Check Box 7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97</xdr:row>
                    <xdr:rowOff>142875</xdr:rowOff>
                  </from>
                  <to>
                    <xdr:col>3</xdr:col>
                    <xdr:colOff>47625</xdr:colOff>
                    <xdr:row>98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Check Box 7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97</xdr:row>
                    <xdr:rowOff>133350</xdr:rowOff>
                  </from>
                  <to>
                    <xdr:col>5</xdr:col>
                    <xdr:colOff>9525</xdr:colOff>
                    <xdr:row>98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Check Box 76">
              <controlPr locked="0" defaultSize="0" autoFill="0" autoLine="0" autoPict="0">
                <anchor moveWithCells="1">
                  <from>
                    <xdr:col>0</xdr:col>
                    <xdr:colOff>57150</xdr:colOff>
                    <xdr:row>101</xdr:row>
                    <xdr:rowOff>85725</xdr:rowOff>
                  </from>
                  <to>
                    <xdr:col>1</xdr:col>
                    <xdr:colOff>495300</xdr:colOff>
                    <xdr:row>103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Check Box 7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101</xdr:row>
                    <xdr:rowOff>142875</xdr:rowOff>
                  </from>
                  <to>
                    <xdr:col>3</xdr:col>
                    <xdr:colOff>47625</xdr:colOff>
                    <xdr:row>102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Check Box 7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101</xdr:row>
                    <xdr:rowOff>133350</xdr:rowOff>
                  </from>
                  <to>
                    <xdr:col>5</xdr:col>
                    <xdr:colOff>552450</xdr:colOff>
                    <xdr:row>103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Check Box 7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133350</xdr:rowOff>
                  </from>
                  <to>
                    <xdr:col>1</xdr:col>
                    <xdr:colOff>9525</xdr:colOff>
                    <xdr:row>106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Check Box 8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105</xdr:row>
                    <xdr:rowOff>142875</xdr:rowOff>
                  </from>
                  <to>
                    <xdr:col>3</xdr:col>
                    <xdr:colOff>47625</xdr:colOff>
                    <xdr:row>106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Check Box 8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105</xdr:row>
                    <xdr:rowOff>133350</xdr:rowOff>
                  </from>
                  <to>
                    <xdr:col>5</xdr:col>
                    <xdr:colOff>9525</xdr:colOff>
                    <xdr:row>106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Check Box 8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180975</xdr:rowOff>
                  </from>
                  <to>
                    <xdr:col>1</xdr:col>
                    <xdr:colOff>723900</xdr:colOff>
                    <xdr:row>110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Check Box 8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109</xdr:row>
                    <xdr:rowOff>76200</xdr:rowOff>
                  </from>
                  <to>
                    <xdr:col>3</xdr:col>
                    <xdr:colOff>714375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Check Box 8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109</xdr:row>
                    <xdr:rowOff>95250</xdr:rowOff>
                  </from>
                  <to>
                    <xdr:col>5</xdr:col>
                    <xdr:colOff>590550</xdr:colOff>
                    <xdr:row>111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Check Box 8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152400</xdr:rowOff>
                  </from>
                  <to>
                    <xdr:col>1</xdr:col>
                    <xdr:colOff>685800</xdr:colOff>
                    <xdr:row>114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Check Box 8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113</xdr:row>
                    <xdr:rowOff>142875</xdr:rowOff>
                  </from>
                  <to>
                    <xdr:col>3</xdr:col>
                    <xdr:colOff>352425</xdr:colOff>
                    <xdr:row>114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Check Box 8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113</xdr:row>
                    <xdr:rowOff>133350</xdr:rowOff>
                  </from>
                  <to>
                    <xdr:col>5</xdr:col>
                    <xdr:colOff>485775</xdr:colOff>
                    <xdr:row>114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Check Box 8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152400</xdr:rowOff>
                  </from>
                  <to>
                    <xdr:col>1</xdr:col>
                    <xdr:colOff>685800</xdr:colOff>
                    <xdr:row>126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Check Box 8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125</xdr:row>
                    <xdr:rowOff>142875</xdr:rowOff>
                  </from>
                  <to>
                    <xdr:col>3</xdr:col>
                    <xdr:colOff>47625</xdr:colOff>
                    <xdr:row>126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Check Box 9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125</xdr:row>
                    <xdr:rowOff>133350</xdr:rowOff>
                  </from>
                  <to>
                    <xdr:col>5</xdr:col>
                    <xdr:colOff>485775</xdr:colOff>
                    <xdr:row>126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Check Box 9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152400</xdr:rowOff>
                  </from>
                  <to>
                    <xdr:col>1</xdr:col>
                    <xdr:colOff>714375</xdr:colOff>
                    <xdr:row>131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Check Box 9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129</xdr:row>
                    <xdr:rowOff>142875</xdr:rowOff>
                  </from>
                  <to>
                    <xdr:col>3</xdr:col>
                    <xdr:colOff>723900</xdr:colOff>
                    <xdr:row>130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Check Box 9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129</xdr:row>
                    <xdr:rowOff>133350</xdr:rowOff>
                  </from>
                  <to>
                    <xdr:col>5</xdr:col>
                    <xdr:colOff>485775</xdr:colOff>
                    <xdr:row>130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Check Box 9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152400</xdr:rowOff>
                  </from>
                  <to>
                    <xdr:col>1</xdr:col>
                    <xdr:colOff>685800</xdr:colOff>
                    <xdr:row>134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Check Box 95">
              <controlPr locked="0" defaultSize="0" autoFill="0" autoLine="0" autoPict="0">
                <anchor moveWithCells="1">
                  <from>
                    <xdr:col>1</xdr:col>
                    <xdr:colOff>704850</xdr:colOff>
                    <xdr:row>134</xdr:row>
                    <xdr:rowOff>0</xdr:rowOff>
                  </from>
                  <to>
                    <xdr:col>3</xdr:col>
                    <xdr:colOff>28575</xdr:colOff>
                    <xdr:row>135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Check Box 96">
              <controlPr locked="0" defaultSize="0" autoFill="0" autoLine="0" autoPict="0">
                <anchor moveWithCells="1">
                  <from>
                    <xdr:col>3</xdr:col>
                    <xdr:colOff>704850</xdr:colOff>
                    <xdr:row>133</xdr:row>
                    <xdr:rowOff>133350</xdr:rowOff>
                  </from>
                  <to>
                    <xdr:col>5</xdr:col>
                    <xdr:colOff>752475</xdr:colOff>
                    <xdr:row>135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Check Box 9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152400</xdr:rowOff>
                  </from>
                  <to>
                    <xdr:col>1</xdr:col>
                    <xdr:colOff>685800</xdr:colOff>
                    <xdr:row>138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Check Box 9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137</xdr:row>
                    <xdr:rowOff>142875</xdr:rowOff>
                  </from>
                  <to>
                    <xdr:col>3</xdr:col>
                    <xdr:colOff>47625</xdr:colOff>
                    <xdr:row>138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Check Box 9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137</xdr:row>
                    <xdr:rowOff>133350</xdr:rowOff>
                  </from>
                  <to>
                    <xdr:col>5</xdr:col>
                    <xdr:colOff>485775</xdr:colOff>
                    <xdr:row>138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Check Box 10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47625</xdr:rowOff>
                  </from>
                  <to>
                    <xdr:col>1</xdr:col>
                    <xdr:colOff>695325</xdr:colOff>
                    <xdr:row>143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Check Box 10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141</xdr:row>
                    <xdr:rowOff>142875</xdr:rowOff>
                  </from>
                  <to>
                    <xdr:col>3</xdr:col>
                    <xdr:colOff>47625</xdr:colOff>
                    <xdr:row>142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Check Box 10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141</xdr:row>
                    <xdr:rowOff>133350</xdr:rowOff>
                  </from>
                  <to>
                    <xdr:col>6</xdr:col>
                    <xdr:colOff>247650</xdr:colOff>
                    <xdr:row>142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Check Box 10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152400</xdr:rowOff>
                  </from>
                  <to>
                    <xdr:col>1</xdr:col>
                    <xdr:colOff>685800</xdr:colOff>
                    <xdr:row>146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Check Box 10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145</xdr:row>
                    <xdr:rowOff>95250</xdr:rowOff>
                  </from>
                  <to>
                    <xdr:col>3</xdr:col>
                    <xdr:colOff>561975</xdr:colOff>
                    <xdr:row>147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Check Box 10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145</xdr:row>
                    <xdr:rowOff>133350</xdr:rowOff>
                  </from>
                  <to>
                    <xdr:col>5</xdr:col>
                    <xdr:colOff>485775</xdr:colOff>
                    <xdr:row>146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Check Box 10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152400</xdr:rowOff>
                  </from>
                  <to>
                    <xdr:col>1</xdr:col>
                    <xdr:colOff>685800</xdr:colOff>
                    <xdr:row>150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Check Box 10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149</xdr:row>
                    <xdr:rowOff>142875</xdr:rowOff>
                  </from>
                  <to>
                    <xdr:col>3</xdr:col>
                    <xdr:colOff>47625</xdr:colOff>
                    <xdr:row>150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Check Box 10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149</xdr:row>
                    <xdr:rowOff>133350</xdr:rowOff>
                  </from>
                  <to>
                    <xdr:col>5</xdr:col>
                    <xdr:colOff>485775</xdr:colOff>
                    <xdr:row>150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Check Box 10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76200</xdr:rowOff>
                  </from>
                  <to>
                    <xdr:col>1</xdr:col>
                    <xdr:colOff>514350</xdr:colOff>
                    <xdr:row>155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Check Box 11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153</xdr:row>
                    <xdr:rowOff>142875</xdr:rowOff>
                  </from>
                  <to>
                    <xdr:col>3</xdr:col>
                    <xdr:colOff>47625</xdr:colOff>
                    <xdr:row>154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Check Box 11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153</xdr:row>
                    <xdr:rowOff>123825</xdr:rowOff>
                  </from>
                  <to>
                    <xdr:col>6</xdr:col>
                    <xdr:colOff>19050</xdr:colOff>
                    <xdr:row>154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Check Box 11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152400</xdr:rowOff>
                  </from>
                  <to>
                    <xdr:col>1</xdr:col>
                    <xdr:colOff>685800</xdr:colOff>
                    <xdr:row>158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Check Box 11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157</xdr:row>
                    <xdr:rowOff>142875</xdr:rowOff>
                  </from>
                  <to>
                    <xdr:col>3</xdr:col>
                    <xdr:colOff>47625</xdr:colOff>
                    <xdr:row>158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Check Box 11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157</xdr:row>
                    <xdr:rowOff>133350</xdr:rowOff>
                  </from>
                  <to>
                    <xdr:col>5</xdr:col>
                    <xdr:colOff>485775</xdr:colOff>
                    <xdr:row>158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Check Box 115">
              <controlPr locked="0" defaultSize="0" autoFill="0" autoLine="0" autoPict="0">
                <anchor moveWithCells="1">
                  <from>
                    <xdr:col>0</xdr:col>
                    <xdr:colOff>38100</xdr:colOff>
                    <xdr:row>161</xdr:row>
                    <xdr:rowOff>9525</xdr:rowOff>
                  </from>
                  <to>
                    <xdr:col>1</xdr:col>
                    <xdr:colOff>590550</xdr:colOff>
                    <xdr:row>163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Check Box 11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161</xdr:row>
                    <xdr:rowOff>142875</xdr:rowOff>
                  </from>
                  <to>
                    <xdr:col>3</xdr:col>
                    <xdr:colOff>47625</xdr:colOff>
                    <xdr:row>162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Check Box 11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161</xdr:row>
                    <xdr:rowOff>28575</xdr:rowOff>
                  </from>
                  <to>
                    <xdr:col>5</xdr:col>
                    <xdr:colOff>666750</xdr:colOff>
                    <xdr:row>163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Check Box 11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152400</xdr:rowOff>
                  </from>
                  <to>
                    <xdr:col>1</xdr:col>
                    <xdr:colOff>685800</xdr:colOff>
                    <xdr:row>166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Check Box 11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165</xdr:row>
                    <xdr:rowOff>142875</xdr:rowOff>
                  </from>
                  <to>
                    <xdr:col>3</xdr:col>
                    <xdr:colOff>47625</xdr:colOff>
                    <xdr:row>166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Check Box 12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165</xdr:row>
                    <xdr:rowOff>133350</xdr:rowOff>
                  </from>
                  <to>
                    <xdr:col>5</xdr:col>
                    <xdr:colOff>666750</xdr:colOff>
                    <xdr:row>167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Check Box 12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152400</xdr:rowOff>
                  </from>
                  <to>
                    <xdr:col>1</xdr:col>
                    <xdr:colOff>685800</xdr:colOff>
                    <xdr:row>170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Check Box 12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169</xdr:row>
                    <xdr:rowOff>142875</xdr:rowOff>
                  </from>
                  <to>
                    <xdr:col>3</xdr:col>
                    <xdr:colOff>47625</xdr:colOff>
                    <xdr:row>170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Check Box 12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169</xdr:row>
                    <xdr:rowOff>133350</xdr:rowOff>
                  </from>
                  <to>
                    <xdr:col>5</xdr:col>
                    <xdr:colOff>485775</xdr:colOff>
                    <xdr:row>170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Check Box 12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152400</xdr:rowOff>
                  </from>
                  <to>
                    <xdr:col>1</xdr:col>
                    <xdr:colOff>685800</xdr:colOff>
                    <xdr:row>174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Check Box 12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173</xdr:row>
                    <xdr:rowOff>142875</xdr:rowOff>
                  </from>
                  <to>
                    <xdr:col>3</xdr:col>
                    <xdr:colOff>47625</xdr:colOff>
                    <xdr:row>174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Check Box 12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173</xdr:row>
                    <xdr:rowOff>133350</xdr:rowOff>
                  </from>
                  <to>
                    <xdr:col>5</xdr:col>
                    <xdr:colOff>485775</xdr:colOff>
                    <xdr:row>174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0" name="Check Box 13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152400</xdr:rowOff>
                  </from>
                  <to>
                    <xdr:col>2</xdr:col>
                    <xdr:colOff>76200</xdr:colOff>
                    <xdr:row>183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1" name="Check Box 131">
              <controlPr locked="0" defaultSize="0" autoFill="0" autoLine="0" autoPict="0">
                <anchor moveWithCells="1">
                  <from>
                    <xdr:col>2</xdr:col>
                    <xdr:colOff>257175</xdr:colOff>
                    <xdr:row>182</xdr:row>
                    <xdr:rowOff>9525</xdr:rowOff>
                  </from>
                  <to>
                    <xdr:col>3</xdr:col>
                    <xdr:colOff>342900</xdr:colOff>
                    <xdr:row>183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2" name="Check Box 13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181</xdr:row>
                    <xdr:rowOff>133350</xdr:rowOff>
                  </from>
                  <to>
                    <xdr:col>5</xdr:col>
                    <xdr:colOff>781050</xdr:colOff>
                    <xdr:row>183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3" name="Check Box 13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152400</xdr:rowOff>
                  </from>
                  <to>
                    <xdr:col>1</xdr:col>
                    <xdr:colOff>685800</xdr:colOff>
                    <xdr:row>186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4" name="Check Box 13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185</xdr:row>
                    <xdr:rowOff>142875</xdr:rowOff>
                  </from>
                  <to>
                    <xdr:col>3</xdr:col>
                    <xdr:colOff>47625</xdr:colOff>
                    <xdr:row>186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5" name="Check Box 135">
              <controlPr locked="0" defaultSize="0" autoFill="0" autoLine="0" autoPict="0">
                <anchor moveWithCells="1">
                  <from>
                    <xdr:col>3</xdr:col>
                    <xdr:colOff>695325</xdr:colOff>
                    <xdr:row>185</xdr:row>
                    <xdr:rowOff>47625</xdr:rowOff>
                  </from>
                  <to>
                    <xdr:col>6</xdr:col>
                    <xdr:colOff>104775</xdr:colOff>
                    <xdr:row>187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6" name="Check Box 13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152400</xdr:rowOff>
                  </from>
                  <to>
                    <xdr:col>1</xdr:col>
                    <xdr:colOff>685800</xdr:colOff>
                    <xdr:row>190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7" name="Check Box 13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189</xdr:row>
                    <xdr:rowOff>142875</xdr:rowOff>
                  </from>
                  <to>
                    <xdr:col>3</xdr:col>
                    <xdr:colOff>47625</xdr:colOff>
                    <xdr:row>190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8" name="Check Box 13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189</xdr:row>
                    <xdr:rowOff>133350</xdr:rowOff>
                  </from>
                  <to>
                    <xdr:col>5</xdr:col>
                    <xdr:colOff>485775</xdr:colOff>
                    <xdr:row>190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9" name="Check Box 13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152400</xdr:rowOff>
                  </from>
                  <to>
                    <xdr:col>1</xdr:col>
                    <xdr:colOff>685800</xdr:colOff>
                    <xdr:row>194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0" name="Check Box 14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193</xdr:row>
                    <xdr:rowOff>142875</xdr:rowOff>
                  </from>
                  <to>
                    <xdr:col>3</xdr:col>
                    <xdr:colOff>47625</xdr:colOff>
                    <xdr:row>194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1" name="Check Box 14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193</xdr:row>
                    <xdr:rowOff>133350</xdr:rowOff>
                  </from>
                  <to>
                    <xdr:col>5</xdr:col>
                    <xdr:colOff>485775</xdr:colOff>
                    <xdr:row>194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2" name="Check Box 14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152400</xdr:rowOff>
                  </from>
                  <to>
                    <xdr:col>1</xdr:col>
                    <xdr:colOff>685800</xdr:colOff>
                    <xdr:row>198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3" name="Check Box 14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197</xdr:row>
                    <xdr:rowOff>142875</xdr:rowOff>
                  </from>
                  <to>
                    <xdr:col>3</xdr:col>
                    <xdr:colOff>47625</xdr:colOff>
                    <xdr:row>198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4" name="Check Box 14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197</xdr:row>
                    <xdr:rowOff>133350</xdr:rowOff>
                  </from>
                  <to>
                    <xdr:col>5</xdr:col>
                    <xdr:colOff>485775</xdr:colOff>
                    <xdr:row>198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5" name="Check Box 14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152400</xdr:rowOff>
                  </from>
                  <to>
                    <xdr:col>1</xdr:col>
                    <xdr:colOff>685800</xdr:colOff>
                    <xdr:row>202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6" name="Check Box 14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201</xdr:row>
                    <xdr:rowOff>142875</xdr:rowOff>
                  </from>
                  <to>
                    <xdr:col>3</xdr:col>
                    <xdr:colOff>47625</xdr:colOff>
                    <xdr:row>202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7" name="Check Box 14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201</xdr:row>
                    <xdr:rowOff>133350</xdr:rowOff>
                  </from>
                  <to>
                    <xdr:col>5</xdr:col>
                    <xdr:colOff>485775</xdr:colOff>
                    <xdr:row>202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8" name="Check Box 14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38100</xdr:rowOff>
                  </from>
                  <to>
                    <xdr:col>1</xdr:col>
                    <xdr:colOff>514350</xdr:colOff>
                    <xdr:row>207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9" name="Check Box 14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205</xdr:row>
                    <xdr:rowOff>142875</xdr:rowOff>
                  </from>
                  <to>
                    <xdr:col>3</xdr:col>
                    <xdr:colOff>47625</xdr:colOff>
                    <xdr:row>206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0" name="Check Box 15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205</xdr:row>
                    <xdr:rowOff>9525</xdr:rowOff>
                  </from>
                  <to>
                    <xdr:col>5</xdr:col>
                    <xdr:colOff>561975</xdr:colOff>
                    <xdr:row>207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1" name="Check Box 15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152400</xdr:rowOff>
                  </from>
                  <to>
                    <xdr:col>1</xdr:col>
                    <xdr:colOff>685800</xdr:colOff>
                    <xdr:row>178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2" name="Check Box 15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177</xdr:row>
                    <xdr:rowOff>142875</xdr:rowOff>
                  </from>
                  <to>
                    <xdr:col>3</xdr:col>
                    <xdr:colOff>47625</xdr:colOff>
                    <xdr:row>178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3" name="Check Box 15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177</xdr:row>
                    <xdr:rowOff>133350</xdr:rowOff>
                  </from>
                  <to>
                    <xdr:col>5</xdr:col>
                    <xdr:colOff>485775</xdr:colOff>
                    <xdr:row>178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4" name="Check Box 15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38100</xdr:rowOff>
                  </from>
                  <to>
                    <xdr:col>1</xdr:col>
                    <xdr:colOff>514350</xdr:colOff>
                    <xdr:row>211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5" name="Check Box 15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209</xdr:row>
                    <xdr:rowOff>142875</xdr:rowOff>
                  </from>
                  <to>
                    <xdr:col>3</xdr:col>
                    <xdr:colOff>47625</xdr:colOff>
                    <xdr:row>210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6" name="Check Box 15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209</xdr:row>
                    <xdr:rowOff>9525</xdr:rowOff>
                  </from>
                  <to>
                    <xdr:col>5</xdr:col>
                    <xdr:colOff>781050</xdr:colOff>
                    <xdr:row>211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7" name="Check Box 15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38100</xdr:rowOff>
                  </from>
                  <to>
                    <xdr:col>1</xdr:col>
                    <xdr:colOff>514350</xdr:colOff>
                    <xdr:row>215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8" name="Check Box 15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213</xdr:row>
                    <xdr:rowOff>142875</xdr:rowOff>
                  </from>
                  <to>
                    <xdr:col>3</xdr:col>
                    <xdr:colOff>47625</xdr:colOff>
                    <xdr:row>214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9" name="Check Box 15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213</xdr:row>
                    <xdr:rowOff>9525</xdr:rowOff>
                  </from>
                  <to>
                    <xdr:col>5</xdr:col>
                    <xdr:colOff>419100</xdr:colOff>
                    <xdr:row>215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0" name="Check Box 16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38100</xdr:rowOff>
                  </from>
                  <to>
                    <xdr:col>1</xdr:col>
                    <xdr:colOff>514350</xdr:colOff>
                    <xdr:row>219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1" name="Check Box 16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217</xdr:row>
                    <xdr:rowOff>142875</xdr:rowOff>
                  </from>
                  <to>
                    <xdr:col>3</xdr:col>
                    <xdr:colOff>47625</xdr:colOff>
                    <xdr:row>218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2" name="Check Box 16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217</xdr:row>
                    <xdr:rowOff>9525</xdr:rowOff>
                  </from>
                  <to>
                    <xdr:col>5</xdr:col>
                    <xdr:colOff>666750</xdr:colOff>
                    <xdr:row>219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3" name="Check Box 16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38100</xdr:rowOff>
                  </from>
                  <to>
                    <xdr:col>1</xdr:col>
                    <xdr:colOff>514350</xdr:colOff>
                    <xdr:row>223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4" name="Check Box 16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221</xdr:row>
                    <xdr:rowOff>142875</xdr:rowOff>
                  </from>
                  <to>
                    <xdr:col>3</xdr:col>
                    <xdr:colOff>47625</xdr:colOff>
                    <xdr:row>222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5" name="Check Box 16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221</xdr:row>
                    <xdr:rowOff>9525</xdr:rowOff>
                  </from>
                  <to>
                    <xdr:col>5</xdr:col>
                    <xdr:colOff>790575</xdr:colOff>
                    <xdr:row>223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6" name="Check Box 16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38100</xdr:rowOff>
                  </from>
                  <to>
                    <xdr:col>1</xdr:col>
                    <xdr:colOff>514350</xdr:colOff>
                    <xdr:row>227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7" name="Check Box 16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225</xdr:row>
                    <xdr:rowOff>142875</xdr:rowOff>
                  </from>
                  <to>
                    <xdr:col>3</xdr:col>
                    <xdr:colOff>47625</xdr:colOff>
                    <xdr:row>226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8" name="Check Box 16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225</xdr:row>
                    <xdr:rowOff>9525</xdr:rowOff>
                  </from>
                  <to>
                    <xdr:col>6</xdr:col>
                    <xdr:colOff>114300</xdr:colOff>
                    <xdr:row>227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69" name="Check Box 16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38100</xdr:rowOff>
                  </from>
                  <to>
                    <xdr:col>1</xdr:col>
                    <xdr:colOff>514350</xdr:colOff>
                    <xdr:row>231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0" name="Check Box 17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229</xdr:row>
                    <xdr:rowOff>142875</xdr:rowOff>
                  </from>
                  <to>
                    <xdr:col>3</xdr:col>
                    <xdr:colOff>47625</xdr:colOff>
                    <xdr:row>230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1" name="Check Box 17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229</xdr:row>
                    <xdr:rowOff>9525</xdr:rowOff>
                  </from>
                  <to>
                    <xdr:col>6</xdr:col>
                    <xdr:colOff>114300</xdr:colOff>
                    <xdr:row>231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2" name="Check Box 17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38100</xdr:rowOff>
                  </from>
                  <to>
                    <xdr:col>1</xdr:col>
                    <xdr:colOff>514350</xdr:colOff>
                    <xdr:row>235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3" name="Check Box 17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233</xdr:row>
                    <xdr:rowOff>142875</xdr:rowOff>
                  </from>
                  <to>
                    <xdr:col>3</xdr:col>
                    <xdr:colOff>47625</xdr:colOff>
                    <xdr:row>234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4" name="Check Box 17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233</xdr:row>
                    <xdr:rowOff>9525</xdr:rowOff>
                  </from>
                  <to>
                    <xdr:col>5</xdr:col>
                    <xdr:colOff>657225</xdr:colOff>
                    <xdr:row>235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5" name="Check Box 175">
              <controlPr locked="0" defaultSize="0" autoFill="0" autoLine="0" autoPict="0">
                <anchor moveWithCells="1">
                  <from>
                    <xdr:col>0</xdr:col>
                    <xdr:colOff>28575</xdr:colOff>
                    <xdr:row>236</xdr:row>
                    <xdr:rowOff>161925</xdr:rowOff>
                  </from>
                  <to>
                    <xdr:col>1</xdr:col>
                    <xdr:colOff>552450</xdr:colOff>
                    <xdr:row>239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6" name="Check Box 176">
              <controlPr locked="0" defaultSize="0" autoFill="0" autoLine="0" autoPict="0">
                <anchor moveWithCells="1">
                  <from>
                    <xdr:col>1</xdr:col>
                    <xdr:colOff>752475</xdr:colOff>
                    <xdr:row>237</xdr:row>
                    <xdr:rowOff>47625</xdr:rowOff>
                  </from>
                  <to>
                    <xdr:col>3</xdr:col>
                    <xdr:colOff>581025</xdr:colOff>
                    <xdr:row>239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7" name="Check Box 17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237</xdr:row>
                    <xdr:rowOff>9525</xdr:rowOff>
                  </from>
                  <to>
                    <xdr:col>5</xdr:col>
                    <xdr:colOff>714375</xdr:colOff>
                    <xdr:row>239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8" name="Check Box 17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38100</xdr:rowOff>
                  </from>
                  <to>
                    <xdr:col>1</xdr:col>
                    <xdr:colOff>514350</xdr:colOff>
                    <xdr:row>243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79" name="Check Box 17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241</xdr:row>
                    <xdr:rowOff>142875</xdr:rowOff>
                  </from>
                  <to>
                    <xdr:col>3</xdr:col>
                    <xdr:colOff>47625</xdr:colOff>
                    <xdr:row>242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0" name="Check Box 18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241</xdr:row>
                    <xdr:rowOff>9525</xdr:rowOff>
                  </from>
                  <to>
                    <xdr:col>5</xdr:col>
                    <xdr:colOff>638175</xdr:colOff>
                    <xdr:row>243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1" name="Check Box 18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38100</xdr:rowOff>
                  </from>
                  <to>
                    <xdr:col>1</xdr:col>
                    <xdr:colOff>514350</xdr:colOff>
                    <xdr:row>247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2" name="Check Box 18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245</xdr:row>
                    <xdr:rowOff>142875</xdr:rowOff>
                  </from>
                  <to>
                    <xdr:col>3</xdr:col>
                    <xdr:colOff>47625</xdr:colOff>
                    <xdr:row>246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3" name="Check Box 18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245</xdr:row>
                    <xdr:rowOff>9525</xdr:rowOff>
                  </from>
                  <to>
                    <xdr:col>5</xdr:col>
                    <xdr:colOff>638175</xdr:colOff>
                    <xdr:row>247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4" name="Check Box 18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38100</xdr:rowOff>
                  </from>
                  <to>
                    <xdr:col>1</xdr:col>
                    <xdr:colOff>514350</xdr:colOff>
                    <xdr:row>251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5" name="Check Box 18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249</xdr:row>
                    <xdr:rowOff>142875</xdr:rowOff>
                  </from>
                  <to>
                    <xdr:col>3</xdr:col>
                    <xdr:colOff>47625</xdr:colOff>
                    <xdr:row>250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6" name="Check Box 18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249</xdr:row>
                    <xdr:rowOff>9525</xdr:rowOff>
                  </from>
                  <to>
                    <xdr:col>6</xdr:col>
                    <xdr:colOff>114300</xdr:colOff>
                    <xdr:row>251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7" name="Check Box 18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38100</xdr:rowOff>
                  </from>
                  <to>
                    <xdr:col>1</xdr:col>
                    <xdr:colOff>514350</xdr:colOff>
                    <xdr:row>255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8" name="Check Box 18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253</xdr:row>
                    <xdr:rowOff>142875</xdr:rowOff>
                  </from>
                  <to>
                    <xdr:col>3</xdr:col>
                    <xdr:colOff>47625</xdr:colOff>
                    <xdr:row>254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89" name="Check Box 18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253</xdr:row>
                    <xdr:rowOff>9525</xdr:rowOff>
                  </from>
                  <to>
                    <xdr:col>5</xdr:col>
                    <xdr:colOff>733425</xdr:colOff>
                    <xdr:row>255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0" name="Check Box 19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38100</xdr:rowOff>
                  </from>
                  <to>
                    <xdr:col>1</xdr:col>
                    <xdr:colOff>514350</xdr:colOff>
                    <xdr:row>263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1" name="Check Box 19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261</xdr:row>
                    <xdr:rowOff>142875</xdr:rowOff>
                  </from>
                  <to>
                    <xdr:col>3</xdr:col>
                    <xdr:colOff>47625</xdr:colOff>
                    <xdr:row>262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2" name="Check Box 19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261</xdr:row>
                    <xdr:rowOff>9525</xdr:rowOff>
                  </from>
                  <to>
                    <xdr:col>5</xdr:col>
                    <xdr:colOff>714375</xdr:colOff>
                    <xdr:row>263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3" name="Check Box 19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38100</xdr:rowOff>
                  </from>
                  <to>
                    <xdr:col>1</xdr:col>
                    <xdr:colOff>514350</xdr:colOff>
                    <xdr:row>267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4" name="Check Box 19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265</xdr:row>
                    <xdr:rowOff>142875</xdr:rowOff>
                  </from>
                  <to>
                    <xdr:col>3</xdr:col>
                    <xdr:colOff>47625</xdr:colOff>
                    <xdr:row>266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5" name="Check Box 19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265</xdr:row>
                    <xdr:rowOff>9525</xdr:rowOff>
                  </from>
                  <to>
                    <xdr:col>6</xdr:col>
                    <xdr:colOff>114300</xdr:colOff>
                    <xdr:row>267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96" name="Check Box 19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38100</xdr:rowOff>
                  </from>
                  <to>
                    <xdr:col>1</xdr:col>
                    <xdr:colOff>514350</xdr:colOff>
                    <xdr:row>271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97" name="Check Box 20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269</xdr:row>
                    <xdr:rowOff>142875</xdr:rowOff>
                  </from>
                  <to>
                    <xdr:col>3</xdr:col>
                    <xdr:colOff>47625</xdr:colOff>
                    <xdr:row>270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98" name="Check Box 20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269</xdr:row>
                    <xdr:rowOff>9525</xdr:rowOff>
                  </from>
                  <to>
                    <xdr:col>6</xdr:col>
                    <xdr:colOff>114300</xdr:colOff>
                    <xdr:row>271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99" name="Check Box 20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38100</xdr:rowOff>
                  </from>
                  <to>
                    <xdr:col>1</xdr:col>
                    <xdr:colOff>514350</xdr:colOff>
                    <xdr:row>275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0" name="Check Box 20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273</xdr:row>
                    <xdr:rowOff>142875</xdr:rowOff>
                  </from>
                  <to>
                    <xdr:col>3</xdr:col>
                    <xdr:colOff>47625</xdr:colOff>
                    <xdr:row>274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1" name="Check Box 20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273</xdr:row>
                    <xdr:rowOff>9525</xdr:rowOff>
                  </from>
                  <to>
                    <xdr:col>6</xdr:col>
                    <xdr:colOff>114300</xdr:colOff>
                    <xdr:row>275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2" name="Check Box 20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38100</xdr:rowOff>
                  </from>
                  <to>
                    <xdr:col>1</xdr:col>
                    <xdr:colOff>514350</xdr:colOff>
                    <xdr:row>279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3" name="Check Box 20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277</xdr:row>
                    <xdr:rowOff>142875</xdr:rowOff>
                  </from>
                  <to>
                    <xdr:col>3</xdr:col>
                    <xdr:colOff>47625</xdr:colOff>
                    <xdr:row>278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4" name="Check Box 20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277</xdr:row>
                    <xdr:rowOff>9525</xdr:rowOff>
                  </from>
                  <to>
                    <xdr:col>6</xdr:col>
                    <xdr:colOff>114300</xdr:colOff>
                    <xdr:row>279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5" name="Check Box 20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38100</xdr:rowOff>
                  </from>
                  <to>
                    <xdr:col>1</xdr:col>
                    <xdr:colOff>514350</xdr:colOff>
                    <xdr:row>283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06" name="Check Box 20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281</xdr:row>
                    <xdr:rowOff>142875</xdr:rowOff>
                  </from>
                  <to>
                    <xdr:col>3</xdr:col>
                    <xdr:colOff>47625</xdr:colOff>
                    <xdr:row>282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07" name="Check Box 21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281</xdr:row>
                    <xdr:rowOff>9525</xdr:rowOff>
                  </from>
                  <to>
                    <xdr:col>5</xdr:col>
                    <xdr:colOff>800100</xdr:colOff>
                    <xdr:row>283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08" name="Check Box 21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38100</xdr:rowOff>
                  </from>
                  <to>
                    <xdr:col>1</xdr:col>
                    <xdr:colOff>514350</xdr:colOff>
                    <xdr:row>287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09" name="Check Box 21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285</xdr:row>
                    <xdr:rowOff>142875</xdr:rowOff>
                  </from>
                  <to>
                    <xdr:col>3</xdr:col>
                    <xdr:colOff>47625</xdr:colOff>
                    <xdr:row>286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0" name="Check Box 21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285</xdr:row>
                    <xdr:rowOff>9525</xdr:rowOff>
                  </from>
                  <to>
                    <xdr:col>6</xdr:col>
                    <xdr:colOff>733425</xdr:colOff>
                    <xdr:row>287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1" name="Check Box 21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38100</xdr:rowOff>
                  </from>
                  <to>
                    <xdr:col>1</xdr:col>
                    <xdr:colOff>514350</xdr:colOff>
                    <xdr:row>291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2" name="Check Box 21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289</xdr:row>
                    <xdr:rowOff>142875</xdr:rowOff>
                  </from>
                  <to>
                    <xdr:col>3</xdr:col>
                    <xdr:colOff>47625</xdr:colOff>
                    <xdr:row>290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3" name="Check Box 21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289</xdr:row>
                    <xdr:rowOff>9525</xdr:rowOff>
                  </from>
                  <to>
                    <xdr:col>5</xdr:col>
                    <xdr:colOff>800100</xdr:colOff>
                    <xdr:row>291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4" name="Check Box 21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38100</xdr:rowOff>
                  </from>
                  <to>
                    <xdr:col>1</xdr:col>
                    <xdr:colOff>514350</xdr:colOff>
                    <xdr:row>295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5" name="Check Box 21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293</xdr:row>
                    <xdr:rowOff>142875</xdr:rowOff>
                  </from>
                  <to>
                    <xdr:col>3</xdr:col>
                    <xdr:colOff>47625</xdr:colOff>
                    <xdr:row>294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16" name="Check Box 21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293</xdr:row>
                    <xdr:rowOff>9525</xdr:rowOff>
                  </from>
                  <to>
                    <xdr:col>5</xdr:col>
                    <xdr:colOff>762000</xdr:colOff>
                    <xdr:row>295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17" name="Check Box 22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38100</xdr:rowOff>
                  </from>
                  <to>
                    <xdr:col>1</xdr:col>
                    <xdr:colOff>514350</xdr:colOff>
                    <xdr:row>299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18" name="Check Box 22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297</xdr:row>
                    <xdr:rowOff>142875</xdr:rowOff>
                  </from>
                  <to>
                    <xdr:col>3</xdr:col>
                    <xdr:colOff>47625</xdr:colOff>
                    <xdr:row>298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19" name="Check Box 22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297</xdr:row>
                    <xdr:rowOff>9525</xdr:rowOff>
                  </from>
                  <to>
                    <xdr:col>5</xdr:col>
                    <xdr:colOff>209550</xdr:colOff>
                    <xdr:row>299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0" name="Check Box 22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38100</xdr:rowOff>
                  </from>
                  <to>
                    <xdr:col>1</xdr:col>
                    <xdr:colOff>514350</xdr:colOff>
                    <xdr:row>303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1" name="Check Box 22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301</xdr:row>
                    <xdr:rowOff>142875</xdr:rowOff>
                  </from>
                  <to>
                    <xdr:col>3</xdr:col>
                    <xdr:colOff>47625</xdr:colOff>
                    <xdr:row>302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2" name="Check Box 22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301</xdr:row>
                    <xdr:rowOff>9525</xdr:rowOff>
                  </from>
                  <to>
                    <xdr:col>5</xdr:col>
                    <xdr:colOff>790575</xdr:colOff>
                    <xdr:row>303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3" name="Check Box 22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38100</xdr:rowOff>
                  </from>
                  <to>
                    <xdr:col>1</xdr:col>
                    <xdr:colOff>514350</xdr:colOff>
                    <xdr:row>307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4" name="Check Box 22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305</xdr:row>
                    <xdr:rowOff>142875</xdr:rowOff>
                  </from>
                  <to>
                    <xdr:col>3</xdr:col>
                    <xdr:colOff>47625</xdr:colOff>
                    <xdr:row>306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5" name="Check Box 22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305</xdr:row>
                    <xdr:rowOff>9525</xdr:rowOff>
                  </from>
                  <to>
                    <xdr:col>5</xdr:col>
                    <xdr:colOff>762000</xdr:colOff>
                    <xdr:row>307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26" name="Check Box 22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38100</xdr:rowOff>
                  </from>
                  <to>
                    <xdr:col>1</xdr:col>
                    <xdr:colOff>542925</xdr:colOff>
                    <xdr:row>311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27" name="Check Box 23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309</xdr:row>
                    <xdr:rowOff>142875</xdr:rowOff>
                  </from>
                  <to>
                    <xdr:col>3</xdr:col>
                    <xdr:colOff>47625</xdr:colOff>
                    <xdr:row>310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28" name="Check Box 23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309</xdr:row>
                    <xdr:rowOff>9525</xdr:rowOff>
                  </from>
                  <to>
                    <xdr:col>6</xdr:col>
                    <xdr:colOff>114300</xdr:colOff>
                    <xdr:row>311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29" name="Check Box 23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38100</xdr:rowOff>
                  </from>
                  <to>
                    <xdr:col>1</xdr:col>
                    <xdr:colOff>514350</xdr:colOff>
                    <xdr:row>315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0" name="Check Box 23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313</xdr:row>
                    <xdr:rowOff>142875</xdr:rowOff>
                  </from>
                  <to>
                    <xdr:col>3</xdr:col>
                    <xdr:colOff>47625</xdr:colOff>
                    <xdr:row>314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1" name="Check Box 23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313</xdr:row>
                    <xdr:rowOff>9525</xdr:rowOff>
                  </from>
                  <to>
                    <xdr:col>6</xdr:col>
                    <xdr:colOff>114300</xdr:colOff>
                    <xdr:row>315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2" name="Check Box 23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38100</xdr:rowOff>
                  </from>
                  <to>
                    <xdr:col>1</xdr:col>
                    <xdr:colOff>514350</xdr:colOff>
                    <xdr:row>319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3" name="Check Box 23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317</xdr:row>
                    <xdr:rowOff>142875</xdr:rowOff>
                  </from>
                  <to>
                    <xdr:col>3</xdr:col>
                    <xdr:colOff>47625</xdr:colOff>
                    <xdr:row>318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4" name="Check Box 23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317</xdr:row>
                    <xdr:rowOff>9525</xdr:rowOff>
                  </from>
                  <to>
                    <xdr:col>6</xdr:col>
                    <xdr:colOff>114300</xdr:colOff>
                    <xdr:row>319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5" name="Check Box 23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38100</xdr:rowOff>
                  </from>
                  <to>
                    <xdr:col>1</xdr:col>
                    <xdr:colOff>514350</xdr:colOff>
                    <xdr:row>323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36" name="Check Box 23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321</xdr:row>
                    <xdr:rowOff>142875</xdr:rowOff>
                  </from>
                  <to>
                    <xdr:col>3</xdr:col>
                    <xdr:colOff>47625</xdr:colOff>
                    <xdr:row>322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37" name="Check Box 24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321</xdr:row>
                    <xdr:rowOff>9525</xdr:rowOff>
                  </from>
                  <to>
                    <xdr:col>6</xdr:col>
                    <xdr:colOff>114300</xdr:colOff>
                    <xdr:row>323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38" name="Check Box 24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38100</xdr:rowOff>
                  </from>
                  <to>
                    <xdr:col>1</xdr:col>
                    <xdr:colOff>514350</xdr:colOff>
                    <xdr:row>327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39" name="Check Box 24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325</xdr:row>
                    <xdr:rowOff>142875</xdr:rowOff>
                  </from>
                  <to>
                    <xdr:col>3</xdr:col>
                    <xdr:colOff>47625</xdr:colOff>
                    <xdr:row>326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0" name="Check Box 24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325</xdr:row>
                    <xdr:rowOff>9525</xdr:rowOff>
                  </from>
                  <to>
                    <xdr:col>6</xdr:col>
                    <xdr:colOff>114300</xdr:colOff>
                    <xdr:row>327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1" name="Check Box 24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38100</xdr:rowOff>
                  </from>
                  <to>
                    <xdr:col>1</xdr:col>
                    <xdr:colOff>514350</xdr:colOff>
                    <xdr:row>259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2" name="Check Box 24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257</xdr:row>
                    <xdr:rowOff>142875</xdr:rowOff>
                  </from>
                  <to>
                    <xdr:col>3</xdr:col>
                    <xdr:colOff>47625</xdr:colOff>
                    <xdr:row>258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3" name="Check Box 24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257</xdr:row>
                    <xdr:rowOff>9525</xdr:rowOff>
                  </from>
                  <to>
                    <xdr:col>5</xdr:col>
                    <xdr:colOff>628650</xdr:colOff>
                    <xdr:row>259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4" name="Check Box 24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38100</xdr:rowOff>
                  </from>
                  <to>
                    <xdr:col>1</xdr:col>
                    <xdr:colOff>514350</xdr:colOff>
                    <xdr:row>331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5" name="Check Box 24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329</xdr:row>
                    <xdr:rowOff>142875</xdr:rowOff>
                  </from>
                  <to>
                    <xdr:col>3</xdr:col>
                    <xdr:colOff>47625</xdr:colOff>
                    <xdr:row>330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46" name="Check Box 24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329</xdr:row>
                    <xdr:rowOff>9525</xdr:rowOff>
                  </from>
                  <to>
                    <xdr:col>6</xdr:col>
                    <xdr:colOff>114300</xdr:colOff>
                    <xdr:row>331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47" name="Check Box 25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38100</xdr:rowOff>
                  </from>
                  <to>
                    <xdr:col>1</xdr:col>
                    <xdr:colOff>514350</xdr:colOff>
                    <xdr:row>335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48" name="Check Box 25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333</xdr:row>
                    <xdr:rowOff>142875</xdr:rowOff>
                  </from>
                  <to>
                    <xdr:col>3</xdr:col>
                    <xdr:colOff>47625</xdr:colOff>
                    <xdr:row>334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49" name="Check Box 25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333</xdr:row>
                    <xdr:rowOff>9525</xdr:rowOff>
                  </from>
                  <to>
                    <xdr:col>6</xdr:col>
                    <xdr:colOff>114300</xdr:colOff>
                    <xdr:row>335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50" name="Check Box 25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38100</xdr:rowOff>
                  </from>
                  <to>
                    <xdr:col>1</xdr:col>
                    <xdr:colOff>514350</xdr:colOff>
                    <xdr:row>339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1" name="Check Box 25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337</xdr:row>
                    <xdr:rowOff>142875</xdr:rowOff>
                  </from>
                  <to>
                    <xdr:col>3</xdr:col>
                    <xdr:colOff>47625</xdr:colOff>
                    <xdr:row>338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2" name="Check Box 25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337</xdr:row>
                    <xdr:rowOff>9525</xdr:rowOff>
                  </from>
                  <to>
                    <xdr:col>6</xdr:col>
                    <xdr:colOff>114300</xdr:colOff>
                    <xdr:row>339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53" name="Check Box 25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38100</xdr:rowOff>
                  </from>
                  <to>
                    <xdr:col>1</xdr:col>
                    <xdr:colOff>514350</xdr:colOff>
                    <xdr:row>343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54" name="Check Box 25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341</xdr:row>
                    <xdr:rowOff>142875</xdr:rowOff>
                  </from>
                  <to>
                    <xdr:col>3</xdr:col>
                    <xdr:colOff>47625</xdr:colOff>
                    <xdr:row>342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55" name="Check Box 25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341</xdr:row>
                    <xdr:rowOff>9525</xdr:rowOff>
                  </from>
                  <to>
                    <xdr:col>6</xdr:col>
                    <xdr:colOff>114300</xdr:colOff>
                    <xdr:row>343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56" name="Check Box 25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38100</xdr:rowOff>
                  </from>
                  <to>
                    <xdr:col>1</xdr:col>
                    <xdr:colOff>514350</xdr:colOff>
                    <xdr:row>347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57" name="Check Box 26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345</xdr:row>
                    <xdr:rowOff>142875</xdr:rowOff>
                  </from>
                  <to>
                    <xdr:col>3</xdr:col>
                    <xdr:colOff>47625</xdr:colOff>
                    <xdr:row>346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58" name="Check Box 26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345</xdr:row>
                    <xdr:rowOff>9525</xdr:rowOff>
                  </from>
                  <to>
                    <xdr:col>6</xdr:col>
                    <xdr:colOff>114300</xdr:colOff>
                    <xdr:row>347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59" name="Check Box 265">
              <controlPr locked="0" defaultSize="0" autoFill="0" autoLine="0" autoPict="0">
                <anchor moveWithCells="1">
                  <from>
                    <xdr:col>0</xdr:col>
                    <xdr:colOff>19050</xdr:colOff>
                    <xdr:row>353</xdr:row>
                    <xdr:rowOff>47625</xdr:rowOff>
                  </from>
                  <to>
                    <xdr:col>1</xdr:col>
                    <xdr:colOff>533400</xdr:colOff>
                    <xdr:row>355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60" name="Check Box 26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353</xdr:row>
                    <xdr:rowOff>142875</xdr:rowOff>
                  </from>
                  <to>
                    <xdr:col>3</xdr:col>
                    <xdr:colOff>47625</xdr:colOff>
                    <xdr:row>354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61" name="Check Box 267">
              <controlPr locked="0" defaultSize="0" autoFill="0" autoLine="0" autoPict="0">
                <anchor moveWithCells="1">
                  <from>
                    <xdr:col>3</xdr:col>
                    <xdr:colOff>695325</xdr:colOff>
                    <xdr:row>352</xdr:row>
                    <xdr:rowOff>114300</xdr:rowOff>
                  </from>
                  <to>
                    <xdr:col>6</xdr:col>
                    <xdr:colOff>114300</xdr:colOff>
                    <xdr:row>355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62" name="Check Box 26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38100</xdr:rowOff>
                  </from>
                  <to>
                    <xdr:col>1</xdr:col>
                    <xdr:colOff>514350</xdr:colOff>
                    <xdr:row>359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63" name="Check Box 26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357</xdr:row>
                    <xdr:rowOff>142875</xdr:rowOff>
                  </from>
                  <to>
                    <xdr:col>3</xdr:col>
                    <xdr:colOff>47625</xdr:colOff>
                    <xdr:row>358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64" name="Check Box 27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357</xdr:row>
                    <xdr:rowOff>9525</xdr:rowOff>
                  </from>
                  <to>
                    <xdr:col>6</xdr:col>
                    <xdr:colOff>114300</xdr:colOff>
                    <xdr:row>359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65" name="Check Box 27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38100</xdr:rowOff>
                  </from>
                  <to>
                    <xdr:col>1</xdr:col>
                    <xdr:colOff>542925</xdr:colOff>
                    <xdr:row>371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66" name="Check Box 27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369</xdr:row>
                    <xdr:rowOff>142875</xdr:rowOff>
                  </from>
                  <to>
                    <xdr:col>3</xdr:col>
                    <xdr:colOff>47625</xdr:colOff>
                    <xdr:row>370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67" name="Check Box 27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369</xdr:row>
                    <xdr:rowOff>9525</xdr:rowOff>
                  </from>
                  <to>
                    <xdr:col>6</xdr:col>
                    <xdr:colOff>114300</xdr:colOff>
                    <xdr:row>371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68" name="Check Box 28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38100</xdr:rowOff>
                  </from>
                  <to>
                    <xdr:col>1</xdr:col>
                    <xdr:colOff>514350</xdr:colOff>
                    <xdr:row>375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69" name="Check Box 28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373</xdr:row>
                    <xdr:rowOff>142875</xdr:rowOff>
                  </from>
                  <to>
                    <xdr:col>3</xdr:col>
                    <xdr:colOff>47625</xdr:colOff>
                    <xdr:row>374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70" name="Check Box 28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373</xdr:row>
                    <xdr:rowOff>9525</xdr:rowOff>
                  </from>
                  <to>
                    <xdr:col>6</xdr:col>
                    <xdr:colOff>114300</xdr:colOff>
                    <xdr:row>375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71" name="Check Box 28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38100</xdr:rowOff>
                  </from>
                  <to>
                    <xdr:col>1</xdr:col>
                    <xdr:colOff>514350</xdr:colOff>
                    <xdr:row>379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72" name="Check Box 28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377</xdr:row>
                    <xdr:rowOff>142875</xdr:rowOff>
                  </from>
                  <to>
                    <xdr:col>3</xdr:col>
                    <xdr:colOff>47625</xdr:colOff>
                    <xdr:row>378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73" name="Check Box 28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377</xdr:row>
                    <xdr:rowOff>9525</xdr:rowOff>
                  </from>
                  <to>
                    <xdr:col>6</xdr:col>
                    <xdr:colOff>114300</xdr:colOff>
                    <xdr:row>379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74" name="Check Box 28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38100</xdr:rowOff>
                  </from>
                  <to>
                    <xdr:col>1</xdr:col>
                    <xdr:colOff>514350</xdr:colOff>
                    <xdr:row>383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75" name="Check Box 28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381</xdr:row>
                    <xdr:rowOff>142875</xdr:rowOff>
                  </from>
                  <to>
                    <xdr:col>3</xdr:col>
                    <xdr:colOff>47625</xdr:colOff>
                    <xdr:row>382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76" name="Check Box 28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381</xdr:row>
                    <xdr:rowOff>9525</xdr:rowOff>
                  </from>
                  <to>
                    <xdr:col>6</xdr:col>
                    <xdr:colOff>114300</xdr:colOff>
                    <xdr:row>383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77" name="Check Box 28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38100</xdr:rowOff>
                  </from>
                  <to>
                    <xdr:col>1</xdr:col>
                    <xdr:colOff>514350</xdr:colOff>
                    <xdr:row>387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78" name="Check Box 29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385</xdr:row>
                    <xdr:rowOff>142875</xdr:rowOff>
                  </from>
                  <to>
                    <xdr:col>3</xdr:col>
                    <xdr:colOff>200025</xdr:colOff>
                    <xdr:row>386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79" name="Check Box 29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385</xdr:row>
                    <xdr:rowOff>9525</xdr:rowOff>
                  </from>
                  <to>
                    <xdr:col>6</xdr:col>
                    <xdr:colOff>114300</xdr:colOff>
                    <xdr:row>387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80" name="Check Box 29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38100</xdr:rowOff>
                  </from>
                  <to>
                    <xdr:col>1</xdr:col>
                    <xdr:colOff>514350</xdr:colOff>
                    <xdr:row>391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81" name="Check Box 29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389</xdr:row>
                    <xdr:rowOff>142875</xdr:rowOff>
                  </from>
                  <to>
                    <xdr:col>3</xdr:col>
                    <xdr:colOff>200025</xdr:colOff>
                    <xdr:row>390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82" name="Check Box 29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389</xdr:row>
                    <xdr:rowOff>9525</xdr:rowOff>
                  </from>
                  <to>
                    <xdr:col>6</xdr:col>
                    <xdr:colOff>114300</xdr:colOff>
                    <xdr:row>391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83" name="Check Box 29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38100</xdr:rowOff>
                  </from>
                  <to>
                    <xdr:col>1</xdr:col>
                    <xdr:colOff>514350</xdr:colOff>
                    <xdr:row>395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84" name="Check Box 29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393</xdr:row>
                    <xdr:rowOff>142875</xdr:rowOff>
                  </from>
                  <to>
                    <xdr:col>3</xdr:col>
                    <xdr:colOff>47625</xdr:colOff>
                    <xdr:row>394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85" name="Check Box 29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393</xdr:row>
                    <xdr:rowOff>9525</xdr:rowOff>
                  </from>
                  <to>
                    <xdr:col>6</xdr:col>
                    <xdr:colOff>114300</xdr:colOff>
                    <xdr:row>395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86" name="Check Box 29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38100</xdr:rowOff>
                  </from>
                  <to>
                    <xdr:col>1</xdr:col>
                    <xdr:colOff>514350</xdr:colOff>
                    <xdr:row>399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87" name="Check Box 29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397</xdr:row>
                    <xdr:rowOff>142875</xdr:rowOff>
                  </from>
                  <to>
                    <xdr:col>3</xdr:col>
                    <xdr:colOff>266700</xdr:colOff>
                    <xdr:row>398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88" name="Check Box 30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397</xdr:row>
                    <xdr:rowOff>9525</xdr:rowOff>
                  </from>
                  <to>
                    <xdr:col>6</xdr:col>
                    <xdr:colOff>114300</xdr:colOff>
                    <xdr:row>399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89" name="Check Box 30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38100</xdr:rowOff>
                  </from>
                  <to>
                    <xdr:col>1</xdr:col>
                    <xdr:colOff>514350</xdr:colOff>
                    <xdr:row>403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90" name="Check Box 30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401</xdr:row>
                    <xdr:rowOff>142875</xdr:rowOff>
                  </from>
                  <to>
                    <xdr:col>3</xdr:col>
                    <xdr:colOff>171450</xdr:colOff>
                    <xdr:row>402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91" name="Check Box 30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401</xdr:row>
                    <xdr:rowOff>9525</xdr:rowOff>
                  </from>
                  <to>
                    <xdr:col>6</xdr:col>
                    <xdr:colOff>114300</xdr:colOff>
                    <xdr:row>403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92" name="Check Box 30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38100</xdr:rowOff>
                  </from>
                  <to>
                    <xdr:col>1</xdr:col>
                    <xdr:colOff>514350</xdr:colOff>
                    <xdr:row>407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93" name="Check Box 30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405</xdr:row>
                    <xdr:rowOff>142875</xdr:rowOff>
                  </from>
                  <to>
                    <xdr:col>3</xdr:col>
                    <xdr:colOff>95250</xdr:colOff>
                    <xdr:row>406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94" name="Check Box 30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405</xdr:row>
                    <xdr:rowOff>9525</xdr:rowOff>
                  </from>
                  <to>
                    <xdr:col>6</xdr:col>
                    <xdr:colOff>114300</xdr:colOff>
                    <xdr:row>407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95" name="Check Box 30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38100</xdr:rowOff>
                  </from>
                  <to>
                    <xdr:col>1</xdr:col>
                    <xdr:colOff>514350</xdr:colOff>
                    <xdr:row>351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96" name="Check Box 30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349</xdr:row>
                    <xdr:rowOff>142875</xdr:rowOff>
                  </from>
                  <to>
                    <xdr:col>3</xdr:col>
                    <xdr:colOff>47625</xdr:colOff>
                    <xdr:row>350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97" name="Check Box 30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349</xdr:row>
                    <xdr:rowOff>9525</xdr:rowOff>
                  </from>
                  <to>
                    <xdr:col>6</xdr:col>
                    <xdr:colOff>114300</xdr:colOff>
                    <xdr:row>351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98" name="Check Box 31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38100</xdr:rowOff>
                  </from>
                  <to>
                    <xdr:col>1</xdr:col>
                    <xdr:colOff>514350</xdr:colOff>
                    <xdr:row>363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99" name="Check Box 31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361</xdr:row>
                    <xdr:rowOff>142875</xdr:rowOff>
                  </from>
                  <to>
                    <xdr:col>3</xdr:col>
                    <xdr:colOff>47625</xdr:colOff>
                    <xdr:row>362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300" name="Check Box 31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361</xdr:row>
                    <xdr:rowOff>9525</xdr:rowOff>
                  </from>
                  <to>
                    <xdr:col>6</xdr:col>
                    <xdr:colOff>114300</xdr:colOff>
                    <xdr:row>363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301" name="Check Box 31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47625</xdr:rowOff>
                  </from>
                  <to>
                    <xdr:col>1</xdr:col>
                    <xdr:colOff>514350</xdr:colOff>
                    <xdr:row>367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02" name="Check Box 31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365</xdr:row>
                    <xdr:rowOff>142875</xdr:rowOff>
                  </from>
                  <to>
                    <xdr:col>3</xdr:col>
                    <xdr:colOff>47625</xdr:colOff>
                    <xdr:row>366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03" name="Check Box 31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365</xdr:row>
                    <xdr:rowOff>9525</xdr:rowOff>
                  </from>
                  <to>
                    <xdr:col>6</xdr:col>
                    <xdr:colOff>114300</xdr:colOff>
                    <xdr:row>367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04" name="Check Box 31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38100</xdr:rowOff>
                  </from>
                  <to>
                    <xdr:col>1</xdr:col>
                    <xdr:colOff>514350</xdr:colOff>
                    <xdr:row>411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05" name="Check Box 32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409</xdr:row>
                    <xdr:rowOff>142875</xdr:rowOff>
                  </from>
                  <to>
                    <xdr:col>3</xdr:col>
                    <xdr:colOff>47625</xdr:colOff>
                    <xdr:row>410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306" name="Check Box 32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409</xdr:row>
                    <xdr:rowOff>9525</xdr:rowOff>
                  </from>
                  <to>
                    <xdr:col>6</xdr:col>
                    <xdr:colOff>114300</xdr:colOff>
                    <xdr:row>411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307" name="Check Box 32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38100</xdr:rowOff>
                  </from>
                  <to>
                    <xdr:col>1</xdr:col>
                    <xdr:colOff>514350</xdr:colOff>
                    <xdr:row>415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308" name="Check Box 32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413</xdr:row>
                    <xdr:rowOff>142875</xdr:rowOff>
                  </from>
                  <to>
                    <xdr:col>3</xdr:col>
                    <xdr:colOff>247650</xdr:colOff>
                    <xdr:row>414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309" name="Check Box 32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413</xdr:row>
                    <xdr:rowOff>9525</xdr:rowOff>
                  </from>
                  <to>
                    <xdr:col>6</xdr:col>
                    <xdr:colOff>114300</xdr:colOff>
                    <xdr:row>415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310" name="Check Box 32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38100</xdr:rowOff>
                  </from>
                  <to>
                    <xdr:col>1</xdr:col>
                    <xdr:colOff>514350</xdr:colOff>
                    <xdr:row>419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311" name="Check Box 32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417</xdr:row>
                    <xdr:rowOff>142875</xdr:rowOff>
                  </from>
                  <to>
                    <xdr:col>3</xdr:col>
                    <xdr:colOff>47625</xdr:colOff>
                    <xdr:row>418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312" name="Check Box 33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417</xdr:row>
                    <xdr:rowOff>9525</xdr:rowOff>
                  </from>
                  <to>
                    <xdr:col>6</xdr:col>
                    <xdr:colOff>114300</xdr:colOff>
                    <xdr:row>419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313" name="Check Box 33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38100</xdr:rowOff>
                  </from>
                  <to>
                    <xdr:col>1</xdr:col>
                    <xdr:colOff>514350</xdr:colOff>
                    <xdr:row>423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314" name="Check Box 33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421</xdr:row>
                    <xdr:rowOff>142875</xdr:rowOff>
                  </from>
                  <to>
                    <xdr:col>3</xdr:col>
                    <xdr:colOff>228600</xdr:colOff>
                    <xdr:row>422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315" name="Check Box 33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421</xdr:row>
                    <xdr:rowOff>9525</xdr:rowOff>
                  </from>
                  <to>
                    <xdr:col>6</xdr:col>
                    <xdr:colOff>114300</xdr:colOff>
                    <xdr:row>423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316" name="Check Box 33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38100</xdr:rowOff>
                  </from>
                  <to>
                    <xdr:col>1</xdr:col>
                    <xdr:colOff>609600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317" name="Check Box 33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425</xdr:row>
                    <xdr:rowOff>142875</xdr:rowOff>
                  </from>
                  <to>
                    <xdr:col>3</xdr:col>
                    <xdr:colOff>114300</xdr:colOff>
                    <xdr:row>426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318" name="Check Box 33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425</xdr:row>
                    <xdr:rowOff>9525</xdr:rowOff>
                  </from>
                  <to>
                    <xdr:col>5</xdr:col>
                    <xdr:colOff>685800</xdr:colOff>
                    <xdr:row>427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319" name="Check Box 33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38100</xdr:rowOff>
                  </from>
                  <to>
                    <xdr:col>1</xdr:col>
                    <xdr:colOff>514350</xdr:colOff>
                    <xdr:row>431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320" name="Check Box 33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429</xdr:row>
                    <xdr:rowOff>142875</xdr:rowOff>
                  </from>
                  <to>
                    <xdr:col>3</xdr:col>
                    <xdr:colOff>47625</xdr:colOff>
                    <xdr:row>430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321" name="Check Box 33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429</xdr:row>
                    <xdr:rowOff>9525</xdr:rowOff>
                  </from>
                  <to>
                    <xdr:col>6</xdr:col>
                    <xdr:colOff>114300</xdr:colOff>
                    <xdr:row>431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322" name="Check Box 34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38100</xdr:rowOff>
                  </from>
                  <to>
                    <xdr:col>1</xdr:col>
                    <xdr:colOff>514350</xdr:colOff>
                    <xdr:row>435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323" name="Check Box 34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433</xdr:row>
                    <xdr:rowOff>142875</xdr:rowOff>
                  </from>
                  <to>
                    <xdr:col>3</xdr:col>
                    <xdr:colOff>47625</xdr:colOff>
                    <xdr:row>434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324" name="Check Box 34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433</xdr:row>
                    <xdr:rowOff>9525</xdr:rowOff>
                  </from>
                  <to>
                    <xdr:col>6</xdr:col>
                    <xdr:colOff>114300</xdr:colOff>
                    <xdr:row>435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325" name="Check Box 34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38100</xdr:rowOff>
                  </from>
                  <to>
                    <xdr:col>1</xdr:col>
                    <xdr:colOff>514350</xdr:colOff>
                    <xdr:row>439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326" name="Check Box 34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437</xdr:row>
                    <xdr:rowOff>142875</xdr:rowOff>
                  </from>
                  <to>
                    <xdr:col>3</xdr:col>
                    <xdr:colOff>47625</xdr:colOff>
                    <xdr:row>438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327" name="Check Box 34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437</xdr:row>
                    <xdr:rowOff>9525</xdr:rowOff>
                  </from>
                  <to>
                    <xdr:col>6</xdr:col>
                    <xdr:colOff>114300</xdr:colOff>
                    <xdr:row>439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328" name="Check Box 34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38100</xdr:rowOff>
                  </from>
                  <to>
                    <xdr:col>1</xdr:col>
                    <xdr:colOff>514350</xdr:colOff>
                    <xdr:row>443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329" name="Check Box 34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441</xdr:row>
                    <xdr:rowOff>142875</xdr:rowOff>
                  </from>
                  <to>
                    <xdr:col>3</xdr:col>
                    <xdr:colOff>247650</xdr:colOff>
                    <xdr:row>442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330" name="Check Box 34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441</xdr:row>
                    <xdr:rowOff>9525</xdr:rowOff>
                  </from>
                  <to>
                    <xdr:col>6</xdr:col>
                    <xdr:colOff>114300</xdr:colOff>
                    <xdr:row>443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331" name="Check Box 34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38100</xdr:rowOff>
                  </from>
                  <to>
                    <xdr:col>1</xdr:col>
                    <xdr:colOff>581025</xdr:colOff>
                    <xdr:row>447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32" name="Check Box 35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445</xdr:row>
                    <xdr:rowOff>142875</xdr:rowOff>
                  </from>
                  <to>
                    <xdr:col>3</xdr:col>
                    <xdr:colOff>161925</xdr:colOff>
                    <xdr:row>446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33" name="Check Box 35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445</xdr:row>
                    <xdr:rowOff>9525</xdr:rowOff>
                  </from>
                  <to>
                    <xdr:col>5</xdr:col>
                    <xdr:colOff>657225</xdr:colOff>
                    <xdr:row>447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34" name="Check Box 35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38100</xdr:rowOff>
                  </from>
                  <to>
                    <xdr:col>1</xdr:col>
                    <xdr:colOff>514350</xdr:colOff>
                    <xdr:row>451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35" name="Check Box 35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449</xdr:row>
                    <xdr:rowOff>142875</xdr:rowOff>
                  </from>
                  <to>
                    <xdr:col>3</xdr:col>
                    <xdr:colOff>47625</xdr:colOff>
                    <xdr:row>450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36" name="Check Box 35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449</xdr:row>
                    <xdr:rowOff>9525</xdr:rowOff>
                  </from>
                  <to>
                    <xdr:col>6</xdr:col>
                    <xdr:colOff>114300</xdr:colOff>
                    <xdr:row>451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337" name="Check Box 35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38100</xdr:rowOff>
                  </from>
                  <to>
                    <xdr:col>1</xdr:col>
                    <xdr:colOff>742950</xdr:colOff>
                    <xdr:row>455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38" name="Check Box 35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453</xdr:row>
                    <xdr:rowOff>142875</xdr:rowOff>
                  </from>
                  <to>
                    <xdr:col>3</xdr:col>
                    <xdr:colOff>47625</xdr:colOff>
                    <xdr:row>454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339" name="Check Box 35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453</xdr:row>
                    <xdr:rowOff>9525</xdr:rowOff>
                  </from>
                  <to>
                    <xdr:col>6</xdr:col>
                    <xdr:colOff>114300</xdr:colOff>
                    <xdr:row>455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340" name="Check Box 35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38100</xdr:rowOff>
                  </from>
                  <to>
                    <xdr:col>1</xdr:col>
                    <xdr:colOff>514350</xdr:colOff>
                    <xdr:row>459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341" name="Check Box 35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457</xdr:row>
                    <xdr:rowOff>142875</xdr:rowOff>
                  </from>
                  <to>
                    <xdr:col>3</xdr:col>
                    <xdr:colOff>47625</xdr:colOff>
                    <xdr:row>458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342" name="Check Box 36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457</xdr:row>
                    <xdr:rowOff>9525</xdr:rowOff>
                  </from>
                  <to>
                    <xdr:col>6</xdr:col>
                    <xdr:colOff>114300</xdr:colOff>
                    <xdr:row>459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343" name="Check Box 36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38100</xdr:rowOff>
                  </from>
                  <to>
                    <xdr:col>1</xdr:col>
                    <xdr:colOff>514350</xdr:colOff>
                    <xdr:row>463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344" name="Check Box 36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461</xdr:row>
                    <xdr:rowOff>142875</xdr:rowOff>
                  </from>
                  <to>
                    <xdr:col>3</xdr:col>
                    <xdr:colOff>114300</xdr:colOff>
                    <xdr:row>462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345" name="Check Box 36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461</xdr:row>
                    <xdr:rowOff>9525</xdr:rowOff>
                  </from>
                  <to>
                    <xdr:col>6</xdr:col>
                    <xdr:colOff>114300</xdr:colOff>
                    <xdr:row>463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346" name="Check Box 36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38100</xdr:rowOff>
                  </from>
                  <to>
                    <xdr:col>1</xdr:col>
                    <xdr:colOff>514350</xdr:colOff>
                    <xdr:row>467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347" name="Check Box 36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465</xdr:row>
                    <xdr:rowOff>142875</xdr:rowOff>
                  </from>
                  <to>
                    <xdr:col>3</xdr:col>
                    <xdr:colOff>104775</xdr:colOff>
                    <xdr:row>466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348" name="Check Box 36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465</xdr:row>
                    <xdr:rowOff>9525</xdr:rowOff>
                  </from>
                  <to>
                    <xdr:col>5</xdr:col>
                    <xdr:colOff>571500</xdr:colOff>
                    <xdr:row>467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349" name="Check Box 36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38100</xdr:rowOff>
                  </from>
                  <to>
                    <xdr:col>1</xdr:col>
                    <xdr:colOff>514350</xdr:colOff>
                    <xdr:row>471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350" name="Check Box 36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469</xdr:row>
                    <xdr:rowOff>142875</xdr:rowOff>
                  </from>
                  <to>
                    <xdr:col>3</xdr:col>
                    <xdr:colOff>47625</xdr:colOff>
                    <xdr:row>470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351" name="Check Box 36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469</xdr:row>
                    <xdr:rowOff>9525</xdr:rowOff>
                  </from>
                  <to>
                    <xdr:col>6</xdr:col>
                    <xdr:colOff>114300</xdr:colOff>
                    <xdr:row>471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352" name="Check Box 37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38100</xdr:rowOff>
                  </from>
                  <to>
                    <xdr:col>1</xdr:col>
                    <xdr:colOff>514350</xdr:colOff>
                    <xdr:row>475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353" name="Check Box 37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473</xdr:row>
                    <xdr:rowOff>142875</xdr:rowOff>
                  </from>
                  <to>
                    <xdr:col>3</xdr:col>
                    <xdr:colOff>142875</xdr:colOff>
                    <xdr:row>474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54" name="Check Box 37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473</xdr:row>
                    <xdr:rowOff>9525</xdr:rowOff>
                  </from>
                  <to>
                    <xdr:col>5</xdr:col>
                    <xdr:colOff>628650</xdr:colOff>
                    <xdr:row>475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55" name="Check Box 37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38100</xdr:rowOff>
                  </from>
                  <to>
                    <xdr:col>1</xdr:col>
                    <xdr:colOff>514350</xdr:colOff>
                    <xdr:row>479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56" name="Check Box 37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477</xdr:row>
                    <xdr:rowOff>142875</xdr:rowOff>
                  </from>
                  <to>
                    <xdr:col>3</xdr:col>
                    <xdr:colOff>47625</xdr:colOff>
                    <xdr:row>478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57" name="Check Box 37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477</xdr:row>
                    <xdr:rowOff>9525</xdr:rowOff>
                  </from>
                  <to>
                    <xdr:col>5</xdr:col>
                    <xdr:colOff>695325</xdr:colOff>
                    <xdr:row>479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58" name="Check Box 37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38100</xdr:rowOff>
                  </from>
                  <to>
                    <xdr:col>1</xdr:col>
                    <xdr:colOff>514350</xdr:colOff>
                    <xdr:row>483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59" name="Check Box 37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481</xdr:row>
                    <xdr:rowOff>142875</xdr:rowOff>
                  </from>
                  <to>
                    <xdr:col>3</xdr:col>
                    <xdr:colOff>47625</xdr:colOff>
                    <xdr:row>482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60" name="Check Box 37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481</xdr:row>
                    <xdr:rowOff>9525</xdr:rowOff>
                  </from>
                  <to>
                    <xdr:col>6</xdr:col>
                    <xdr:colOff>114300</xdr:colOff>
                    <xdr:row>483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61" name="Check Box 37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38100</xdr:rowOff>
                  </from>
                  <to>
                    <xdr:col>1</xdr:col>
                    <xdr:colOff>514350</xdr:colOff>
                    <xdr:row>487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62" name="Check Box 38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485</xdr:row>
                    <xdr:rowOff>9525</xdr:rowOff>
                  </from>
                  <to>
                    <xdr:col>6</xdr:col>
                    <xdr:colOff>114300</xdr:colOff>
                    <xdr:row>487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63" name="Check Box 38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38100</xdr:rowOff>
                  </from>
                  <to>
                    <xdr:col>1</xdr:col>
                    <xdr:colOff>514350</xdr:colOff>
                    <xdr:row>491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64" name="Check Box 38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489</xdr:row>
                    <xdr:rowOff>142875</xdr:rowOff>
                  </from>
                  <to>
                    <xdr:col>3</xdr:col>
                    <xdr:colOff>47625</xdr:colOff>
                    <xdr:row>490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65" name="Check Box 38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489</xdr:row>
                    <xdr:rowOff>9525</xdr:rowOff>
                  </from>
                  <to>
                    <xdr:col>6</xdr:col>
                    <xdr:colOff>114300</xdr:colOff>
                    <xdr:row>491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66" name="Check Box 38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38100</xdr:rowOff>
                  </from>
                  <to>
                    <xdr:col>1</xdr:col>
                    <xdr:colOff>514350</xdr:colOff>
                    <xdr:row>495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67" name="Check Box 38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493</xdr:row>
                    <xdr:rowOff>142875</xdr:rowOff>
                  </from>
                  <to>
                    <xdr:col>3</xdr:col>
                    <xdr:colOff>104775</xdr:colOff>
                    <xdr:row>494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68" name="Check Box 38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493</xdr:row>
                    <xdr:rowOff>9525</xdr:rowOff>
                  </from>
                  <to>
                    <xdr:col>6</xdr:col>
                    <xdr:colOff>114300</xdr:colOff>
                    <xdr:row>495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69" name="Check Box 38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38100</xdr:rowOff>
                  </from>
                  <to>
                    <xdr:col>1</xdr:col>
                    <xdr:colOff>514350</xdr:colOff>
                    <xdr:row>499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70" name="Check Box 38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497</xdr:row>
                    <xdr:rowOff>142875</xdr:rowOff>
                  </from>
                  <to>
                    <xdr:col>3</xdr:col>
                    <xdr:colOff>47625</xdr:colOff>
                    <xdr:row>498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71" name="Check Box 39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497</xdr:row>
                    <xdr:rowOff>9525</xdr:rowOff>
                  </from>
                  <to>
                    <xdr:col>6</xdr:col>
                    <xdr:colOff>114300</xdr:colOff>
                    <xdr:row>499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72" name="Check Box 39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38100</xdr:rowOff>
                  </from>
                  <to>
                    <xdr:col>1</xdr:col>
                    <xdr:colOff>514350</xdr:colOff>
                    <xdr:row>503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73" name="Check Box 39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501</xdr:row>
                    <xdr:rowOff>142875</xdr:rowOff>
                  </from>
                  <to>
                    <xdr:col>3</xdr:col>
                    <xdr:colOff>47625</xdr:colOff>
                    <xdr:row>502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74" name="Check Box 39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501</xdr:row>
                    <xdr:rowOff>9525</xdr:rowOff>
                  </from>
                  <to>
                    <xdr:col>6</xdr:col>
                    <xdr:colOff>114300</xdr:colOff>
                    <xdr:row>503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75" name="Check Box 39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38100</xdr:rowOff>
                  </from>
                  <to>
                    <xdr:col>1</xdr:col>
                    <xdr:colOff>514350</xdr:colOff>
                    <xdr:row>507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76" name="Check Box 39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505</xdr:row>
                    <xdr:rowOff>142875</xdr:rowOff>
                  </from>
                  <to>
                    <xdr:col>3</xdr:col>
                    <xdr:colOff>47625</xdr:colOff>
                    <xdr:row>506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77" name="Check Box 39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505</xdr:row>
                    <xdr:rowOff>9525</xdr:rowOff>
                  </from>
                  <to>
                    <xdr:col>6</xdr:col>
                    <xdr:colOff>114300</xdr:colOff>
                    <xdr:row>507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78" name="Check Box 40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38100</xdr:rowOff>
                  </from>
                  <to>
                    <xdr:col>1</xdr:col>
                    <xdr:colOff>514350</xdr:colOff>
                    <xdr:row>511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79" name="Check Box 40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509</xdr:row>
                    <xdr:rowOff>142875</xdr:rowOff>
                  </from>
                  <to>
                    <xdr:col>3</xdr:col>
                    <xdr:colOff>47625</xdr:colOff>
                    <xdr:row>510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80" name="Check Box 40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509</xdr:row>
                    <xdr:rowOff>9525</xdr:rowOff>
                  </from>
                  <to>
                    <xdr:col>5</xdr:col>
                    <xdr:colOff>542925</xdr:colOff>
                    <xdr:row>511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81" name="Check Box 40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38100</xdr:rowOff>
                  </from>
                  <to>
                    <xdr:col>1</xdr:col>
                    <xdr:colOff>514350</xdr:colOff>
                    <xdr:row>515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82" name="Check Box 40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513</xdr:row>
                    <xdr:rowOff>142875</xdr:rowOff>
                  </from>
                  <to>
                    <xdr:col>3</xdr:col>
                    <xdr:colOff>47625</xdr:colOff>
                    <xdr:row>514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83" name="Check Box 40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513</xdr:row>
                    <xdr:rowOff>9525</xdr:rowOff>
                  </from>
                  <to>
                    <xdr:col>6</xdr:col>
                    <xdr:colOff>114300</xdr:colOff>
                    <xdr:row>515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84" name="Check Box 40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38100</xdr:rowOff>
                  </from>
                  <to>
                    <xdr:col>1</xdr:col>
                    <xdr:colOff>514350</xdr:colOff>
                    <xdr:row>519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85" name="Check Box 40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517</xdr:row>
                    <xdr:rowOff>142875</xdr:rowOff>
                  </from>
                  <to>
                    <xdr:col>3</xdr:col>
                    <xdr:colOff>47625</xdr:colOff>
                    <xdr:row>518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86" name="Check Box 40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517</xdr:row>
                    <xdr:rowOff>9525</xdr:rowOff>
                  </from>
                  <to>
                    <xdr:col>6</xdr:col>
                    <xdr:colOff>114300</xdr:colOff>
                    <xdr:row>519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87" name="Check Box 40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38100</xdr:rowOff>
                  </from>
                  <to>
                    <xdr:col>1</xdr:col>
                    <xdr:colOff>514350</xdr:colOff>
                    <xdr:row>523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88" name="Check Box 41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521</xdr:row>
                    <xdr:rowOff>142875</xdr:rowOff>
                  </from>
                  <to>
                    <xdr:col>3</xdr:col>
                    <xdr:colOff>47625</xdr:colOff>
                    <xdr:row>522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89" name="Check Box 41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521</xdr:row>
                    <xdr:rowOff>9525</xdr:rowOff>
                  </from>
                  <to>
                    <xdr:col>6</xdr:col>
                    <xdr:colOff>114300</xdr:colOff>
                    <xdr:row>523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90" name="Check Box 41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38100</xdr:rowOff>
                  </from>
                  <to>
                    <xdr:col>1</xdr:col>
                    <xdr:colOff>514350</xdr:colOff>
                    <xdr:row>527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91" name="Check Box 41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525</xdr:row>
                    <xdr:rowOff>142875</xdr:rowOff>
                  </from>
                  <to>
                    <xdr:col>3</xdr:col>
                    <xdr:colOff>47625</xdr:colOff>
                    <xdr:row>526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92" name="Check Box 41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525</xdr:row>
                    <xdr:rowOff>9525</xdr:rowOff>
                  </from>
                  <to>
                    <xdr:col>6</xdr:col>
                    <xdr:colOff>114300</xdr:colOff>
                    <xdr:row>527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93" name="Check Box 41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38100</xdr:rowOff>
                  </from>
                  <to>
                    <xdr:col>1</xdr:col>
                    <xdr:colOff>514350</xdr:colOff>
                    <xdr:row>531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94" name="Check Box 41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529</xdr:row>
                    <xdr:rowOff>142875</xdr:rowOff>
                  </from>
                  <to>
                    <xdr:col>3</xdr:col>
                    <xdr:colOff>47625</xdr:colOff>
                    <xdr:row>530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95" name="Check Box 41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529</xdr:row>
                    <xdr:rowOff>9525</xdr:rowOff>
                  </from>
                  <to>
                    <xdr:col>6</xdr:col>
                    <xdr:colOff>114300</xdr:colOff>
                    <xdr:row>531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96" name="Check Box 41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38100</xdr:rowOff>
                  </from>
                  <to>
                    <xdr:col>1</xdr:col>
                    <xdr:colOff>514350</xdr:colOff>
                    <xdr:row>535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97" name="Check Box 41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533</xdr:row>
                    <xdr:rowOff>142875</xdr:rowOff>
                  </from>
                  <to>
                    <xdr:col>3</xdr:col>
                    <xdr:colOff>47625</xdr:colOff>
                    <xdr:row>534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98" name="Check Box 42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533</xdr:row>
                    <xdr:rowOff>9525</xdr:rowOff>
                  </from>
                  <to>
                    <xdr:col>6</xdr:col>
                    <xdr:colOff>114300</xdr:colOff>
                    <xdr:row>535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99" name="Check Box 42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38100</xdr:rowOff>
                  </from>
                  <to>
                    <xdr:col>1</xdr:col>
                    <xdr:colOff>514350</xdr:colOff>
                    <xdr:row>539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400" name="Check Box 42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537</xdr:row>
                    <xdr:rowOff>142875</xdr:rowOff>
                  </from>
                  <to>
                    <xdr:col>3</xdr:col>
                    <xdr:colOff>47625</xdr:colOff>
                    <xdr:row>538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401" name="Check Box 42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537</xdr:row>
                    <xdr:rowOff>9525</xdr:rowOff>
                  </from>
                  <to>
                    <xdr:col>6</xdr:col>
                    <xdr:colOff>114300</xdr:colOff>
                    <xdr:row>539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402" name="Check Box 42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38100</xdr:rowOff>
                  </from>
                  <to>
                    <xdr:col>1</xdr:col>
                    <xdr:colOff>514350</xdr:colOff>
                    <xdr:row>543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403" name="Check Box 42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541</xdr:row>
                    <xdr:rowOff>142875</xdr:rowOff>
                  </from>
                  <to>
                    <xdr:col>3</xdr:col>
                    <xdr:colOff>47625</xdr:colOff>
                    <xdr:row>542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404" name="Check Box 42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541</xdr:row>
                    <xdr:rowOff>9525</xdr:rowOff>
                  </from>
                  <to>
                    <xdr:col>6</xdr:col>
                    <xdr:colOff>114300</xdr:colOff>
                    <xdr:row>543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405" name="Check Box 42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38100</xdr:rowOff>
                  </from>
                  <to>
                    <xdr:col>1</xdr:col>
                    <xdr:colOff>514350</xdr:colOff>
                    <xdr:row>547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406" name="Check Box 42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545</xdr:row>
                    <xdr:rowOff>142875</xdr:rowOff>
                  </from>
                  <to>
                    <xdr:col>3</xdr:col>
                    <xdr:colOff>47625</xdr:colOff>
                    <xdr:row>546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407" name="Check Box 42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545</xdr:row>
                    <xdr:rowOff>9525</xdr:rowOff>
                  </from>
                  <to>
                    <xdr:col>6</xdr:col>
                    <xdr:colOff>114300</xdr:colOff>
                    <xdr:row>547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408" name="Check Box 43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38100</xdr:rowOff>
                  </from>
                  <to>
                    <xdr:col>1</xdr:col>
                    <xdr:colOff>514350</xdr:colOff>
                    <xdr:row>551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409" name="Check Box 43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549</xdr:row>
                    <xdr:rowOff>142875</xdr:rowOff>
                  </from>
                  <to>
                    <xdr:col>3</xdr:col>
                    <xdr:colOff>47625</xdr:colOff>
                    <xdr:row>550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410" name="Check Box 43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549</xdr:row>
                    <xdr:rowOff>9525</xdr:rowOff>
                  </from>
                  <to>
                    <xdr:col>6</xdr:col>
                    <xdr:colOff>114300</xdr:colOff>
                    <xdr:row>551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411" name="Check Box 43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38100</xdr:rowOff>
                  </from>
                  <to>
                    <xdr:col>1</xdr:col>
                    <xdr:colOff>514350</xdr:colOff>
                    <xdr:row>555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412" name="Check Box 43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553</xdr:row>
                    <xdr:rowOff>142875</xdr:rowOff>
                  </from>
                  <to>
                    <xdr:col>3</xdr:col>
                    <xdr:colOff>47625</xdr:colOff>
                    <xdr:row>554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13" name="Check Box 43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553</xdr:row>
                    <xdr:rowOff>9525</xdr:rowOff>
                  </from>
                  <to>
                    <xdr:col>5</xdr:col>
                    <xdr:colOff>685800</xdr:colOff>
                    <xdr:row>555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14" name="Check Box 43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38100</xdr:rowOff>
                  </from>
                  <to>
                    <xdr:col>1</xdr:col>
                    <xdr:colOff>514350</xdr:colOff>
                    <xdr:row>559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15" name="Check Box 43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557</xdr:row>
                    <xdr:rowOff>142875</xdr:rowOff>
                  </from>
                  <to>
                    <xdr:col>3</xdr:col>
                    <xdr:colOff>47625</xdr:colOff>
                    <xdr:row>558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16" name="Check Box 43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557</xdr:row>
                    <xdr:rowOff>9525</xdr:rowOff>
                  </from>
                  <to>
                    <xdr:col>5</xdr:col>
                    <xdr:colOff>714375</xdr:colOff>
                    <xdr:row>559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17" name="Check Box 43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38100</xdr:rowOff>
                  </from>
                  <to>
                    <xdr:col>1</xdr:col>
                    <xdr:colOff>514350</xdr:colOff>
                    <xdr:row>563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18" name="Check Box 44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561</xdr:row>
                    <xdr:rowOff>142875</xdr:rowOff>
                  </from>
                  <to>
                    <xdr:col>3</xdr:col>
                    <xdr:colOff>47625</xdr:colOff>
                    <xdr:row>562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19" name="Check Box 44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561</xdr:row>
                    <xdr:rowOff>9525</xdr:rowOff>
                  </from>
                  <to>
                    <xdr:col>5</xdr:col>
                    <xdr:colOff>628650</xdr:colOff>
                    <xdr:row>563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20" name="Check Box 44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38100</xdr:rowOff>
                  </from>
                  <to>
                    <xdr:col>1</xdr:col>
                    <xdr:colOff>514350</xdr:colOff>
                    <xdr:row>567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21" name="Check Box 44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565</xdr:row>
                    <xdr:rowOff>142875</xdr:rowOff>
                  </from>
                  <to>
                    <xdr:col>3</xdr:col>
                    <xdr:colOff>47625</xdr:colOff>
                    <xdr:row>566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22" name="Check Box 44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565</xdr:row>
                    <xdr:rowOff>9525</xdr:rowOff>
                  </from>
                  <to>
                    <xdr:col>6</xdr:col>
                    <xdr:colOff>114300</xdr:colOff>
                    <xdr:row>567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423" name="Check Box 44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38100</xdr:rowOff>
                  </from>
                  <to>
                    <xdr:col>1</xdr:col>
                    <xdr:colOff>514350</xdr:colOff>
                    <xdr:row>571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424" name="Check Box 44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569</xdr:row>
                    <xdr:rowOff>142875</xdr:rowOff>
                  </from>
                  <to>
                    <xdr:col>3</xdr:col>
                    <xdr:colOff>47625</xdr:colOff>
                    <xdr:row>570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425" name="Check Box 44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569</xdr:row>
                    <xdr:rowOff>9525</xdr:rowOff>
                  </from>
                  <to>
                    <xdr:col>6</xdr:col>
                    <xdr:colOff>114300</xdr:colOff>
                    <xdr:row>571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426" name="Check Box 44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38100</xdr:rowOff>
                  </from>
                  <to>
                    <xdr:col>1</xdr:col>
                    <xdr:colOff>514350</xdr:colOff>
                    <xdr:row>575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427" name="Check Box 45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573</xdr:row>
                    <xdr:rowOff>142875</xdr:rowOff>
                  </from>
                  <to>
                    <xdr:col>3</xdr:col>
                    <xdr:colOff>47625</xdr:colOff>
                    <xdr:row>574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428" name="Check Box 45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573</xdr:row>
                    <xdr:rowOff>9525</xdr:rowOff>
                  </from>
                  <to>
                    <xdr:col>6</xdr:col>
                    <xdr:colOff>114300</xdr:colOff>
                    <xdr:row>575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429" name="Check Box 45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38100</xdr:rowOff>
                  </from>
                  <to>
                    <xdr:col>1</xdr:col>
                    <xdr:colOff>514350</xdr:colOff>
                    <xdr:row>579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430" name="Check Box 45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577</xdr:row>
                    <xdr:rowOff>142875</xdr:rowOff>
                  </from>
                  <to>
                    <xdr:col>3</xdr:col>
                    <xdr:colOff>47625</xdr:colOff>
                    <xdr:row>578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431" name="Check Box 45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577</xdr:row>
                    <xdr:rowOff>9525</xdr:rowOff>
                  </from>
                  <to>
                    <xdr:col>6</xdr:col>
                    <xdr:colOff>114300</xdr:colOff>
                    <xdr:row>579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432" name="Check Box 45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38100</xdr:rowOff>
                  </from>
                  <to>
                    <xdr:col>1</xdr:col>
                    <xdr:colOff>514350</xdr:colOff>
                    <xdr:row>583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433" name="Check Box 45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581</xdr:row>
                    <xdr:rowOff>142875</xdr:rowOff>
                  </from>
                  <to>
                    <xdr:col>3</xdr:col>
                    <xdr:colOff>47625</xdr:colOff>
                    <xdr:row>582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434" name="Check Box 46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581</xdr:row>
                    <xdr:rowOff>9525</xdr:rowOff>
                  </from>
                  <to>
                    <xdr:col>6</xdr:col>
                    <xdr:colOff>114300</xdr:colOff>
                    <xdr:row>583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435" name="Check Box 46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38100</xdr:rowOff>
                  </from>
                  <to>
                    <xdr:col>1</xdr:col>
                    <xdr:colOff>514350</xdr:colOff>
                    <xdr:row>587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436" name="Check Box 46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585</xdr:row>
                    <xdr:rowOff>142875</xdr:rowOff>
                  </from>
                  <to>
                    <xdr:col>3</xdr:col>
                    <xdr:colOff>47625</xdr:colOff>
                    <xdr:row>586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437" name="Check Box 46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585</xdr:row>
                    <xdr:rowOff>9525</xdr:rowOff>
                  </from>
                  <to>
                    <xdr:col>6</xdr:col>
                    <xdr:colOff>114300</xdr:colOff>
                    <xdr:row>587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438" name="Check Box 46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38100</xdr:rowOff>
                  </from>
                  <to>
                    <xdr:col>1</xdr:col>
                    <xdr:colOff>514350</xdr:colOff>
                    <xdr:row>591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439" name="Check Box 46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589</xdr:row>
                    <xdr:rowOff>142875</xdr:rowOff>
                  </from>
                  <to>
                    <xdr:col>3</xdr:col>
                    <xdr:colOff>47625</xdr:colOff>
                    <xdr:row>590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440" name="Check Box 46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589</xdr:row>
                    <xdr:rowOff>9525</xdr:rowOff>
                  </from>
                  <to>
                    <xdr:col>6</xdr:col>
                    <xdr:colOff>114300</xdr:colOff>
                    <xdr:row>591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441" name="Check Box 46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38100</xdr:rowOff>
                  </from>
                  <to>
                    <xdr:col>1</xdr:col>
                    <xdr:colOff>514350</xdr:colOff>
                    <xdr:row>595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442" name="Check Box 46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593</xdr:row>
                    <xdr:rowOff>142875</xdr:rowOff>
                  </from>
                  <to>
                    <xdr:col>3</xdr:col>
                    <xdr:colOff>47625</xdr:colOff>
                    <xdr:row>594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443" name="Check Box 46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593</xdr:row>
                    <xdr:rowOff>9525</xdr:rowOff>
                  </from>
                  <to>
                    <xdr:col>6</xdr:col>
                    <xdr:colOff>114300</xdr:colOff>
                    <xdr:row>595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444" name="Check Box 47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38100</xdr:rowOff>
                  </from>
                  <to>
                    <xdr:col>1</xdr:col>
                    <xdr:colOff>514350</xdr:colOff>
                    <xdr:row>599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445" name="Check Box 47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597</xdr:row>
                    <xdr:rowOff>142875</xdr:rowOff>
                  </from>
                  <to>
                    <xdr:col>3</xdr:col>
                    <xdr:colOff>47625</xdr:colOff>
                    <xdr:row>598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46" name="Check Box 47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597</xdr:row>
                    <xdr:rowOff>9525</xdr:rowOff>
                  </from>
                  <to>
                    <xdr:col>5</xdr:col>
                    <xdr:colOff>714375</xdr:colOff>
                    <xdr:row>599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47" name="Check Box 47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38100</xdr:rowOff>
                  </from>
                  <to>
                    <xdr:col>1</xdr:col>
                    <xdr:colOff>514350</xdr:colOff>
                    <xdr:row>603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48" name="Check Box 47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601</xdr:row>
                    <xdr:rowOff>142875</xdr:rowOff>
                  </from>
                  <to>
                    <xdr:col>3</xdr:col>
                    <xdr:colOff>47625</xdr:colOff>
                    <xdr:row>602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49" name="Check Box 47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601</xdr:row>
                    <xdr:rowOff>9525</xdr:rowOff>
                  </from>
                  <to>
                    <xdr:col>6</xdr:col>
                    <xdr:colOff>114300</xdr:colOff>
                    <xdr:row>603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50" name="Check Box 47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38100</xdr:rowOff>
                  </from>
                  <to>
                    <xdr:col>1</xdr:col>
                    <xdr:colOff>514350</xdr:colOff>
                    <xdr:row>607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51" name="Check Box 47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605</xdr:row>
                    <xdr:rowOff>142875</xdr:rowOff>
                  </from>
                  <to>
                    <xdr:col>3</xdr:col>
                    <xdr:colOff>47625</xdr:colOff>
                    <xdr:row>606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52" name="Check Box 47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605</xdr:row>
                    <xdr:rowOff>9525</xdr:rowOff>
                  </from>
                  <to>
                    <xdr:col>6</xdr:col>
                    <xdr:colOff>114300</xdr:colOff>
                    <xdr:row>607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53" name="Check Box 48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609</xdr:row>
                    <xdr:rowOff>142875</xdr:rowOff>
                  </from>
                  <to>
                    <xdr:col>3</xdr:col>
                    <xdr:colOff>47625</xdr:colOff>
                    <xdr:row>610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54" name="Check Box 48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609</xdr:row>
                    <xdr:rowOff>9525</xdr:rowOff>
                  </from>
                  <to>
                    <xdr:col>5</xdr:col>
                    <xdr:colOff>676275</xdr:colOff>
                    <xdr:row>611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55" name="Check Box 48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38100</xdr:rowOff>
                  </from>
                  <to>
                    <xdr:col>1</xdr:col>
                    <xdr:colOff>514350</xdr:colOff>
                    <xdr:row>619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56" name="Check Box 48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617</xdr:row>
                    <xdr:rowOff>142875</xdr:rowOff>
                  </from>
                  <to>
                    <xdr:col>3</xdr:col>
                    <xdr:colOff>47625</xdr:colOff>
                    <xdr:row>618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57" name="Check Box 48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617</xdr:row>
                    <xdr:rowOff>9525</xdr:rowOff>
                  </from>
                  <to>
                    <xdr:col>5</xdr:col>
                    <xdr:colOff>733425</xdr:colOff>
                    <xdr:row>619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58" name="Check Box 48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38100</xdr:rowOff>
                  </from>
                  <to>
                    <xdr:col>1</xdr:col>
                    <xdr:colOff>514350</xdr:colOff>
                    <xdr:row>623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59" name="Check Box 48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621</xdr:row>
                    <xdr:rowOff>142875</xdr:rowOff>
                  </from>
                  <to>
                    <xdr:col>3</xdr:col>
                    <xdr:colOff>47625</xdr:colOff>
                    <xdr:row>622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60" name="Check Box 49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621</xdr:row>
                    <xdr:rowOff>9525</xdr:rowOff>
                  </from>
                  <to>
                    <xdr:col>5</xdr:col>
                    <xdr:colOff>685800</xdr:colOff>
                    <xdr:row>623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61" name="Check Box 49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38100</xdr:rowOff>
                  </from>
                  <to>
                    <xdr:col>1</xdr:col>
                    <xdr:colOff>514350</xdr:colOff>
                    <xdr:row>627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62" name="Check Box 49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625</xdr:row>
                    <xdr:rowOff>142875</xdr:rowOff>
                  </from>
                  <to>
                    <xdr:col>3</xdr:col>
                    <xdr:colOff>47625</xdr:colOff>
                    <xdr:row>626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63" name="Check Box 49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625</xdr:row>
                    <xdr:rowOff>9525</xdr:rowOff>
                  </from>
                  <to>
                    <xdr:col>6</xdr:col>
                    <xdr:colOff>19050</xdr:colOff>
                    <xdr:row>627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64" name="Check Box 49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38100</xdr:rowOff>
                  </from>
                  <to>
                    <xdr:col>1</xdr:col>
                    <xdr:colOff>514350</xdr:colOff>
                    <xdr:row>631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65" name="Check Box 49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629</xdr:row>
                    <xdr:rowOff>142875</xdr:rowOff>
                  </from>
                  <to>
                    <xdr:col>3</xdr:col>
                    <xdr:colOff>47625</xdr:colOff>
                    <xdr:row>630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66" name="Check Box 49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629</xdr:row>
                    <xdr:rowOff>9525</xdr:rowOff>
                  </from>
                  <to>
                    <xdr:col>5</xdr:col>
                    <xdr:colOff>771525</xdr:colOff>
                    <xdr:row>631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67" name="Check Box 49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38100</xdr:rowOff>
                  </from>
                  <to>
                    <xdr:col>1</xdr:col>
                    <xdr:colOff>514350</xdr:colOff>
                    <xdr:row>635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68" name="Check Box 49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633</xdr:row>
                    <xdr:rowOff>142875</xdr:rowOff>
                  </from>
                  <to>
                    <xdr:col>3</xdr:col>
                    <xdr:colOff>47625</xdr:colOff>
                    <xdr:row>634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69" name="Check Box 49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633</xdr:row>
                    <xdr:rowOff>9525</xdr:rowOff>
                  </from>
                  <to>
                    <xdr:col>5</xdr:col>
                    <xdr:colOff>781050</xdr:colOff>
                    <xdr:row>635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70" name="Check Box 50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38100</xdr:rowOff>
                  </from>
                  <to>
                    <xdr:col>1</xdr:col>
                    <xdr:colOff>514350</xdr:colOff>
                    <xdr:row>639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71" name="Check Box 50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637</xdr:row>
                    <xdr:rowOff>142875</xdr:rowOff>
                  </from>
                  <to>
                    <xdr:col>3</xdr:col>
                    <xdr:colOff>47625</xdr:colOff>
                    <xdr:row>638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72" name="Check Box 50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637</xdr:row>
                    <xdr:rowOff>9525</xdr:rowOff>
                  </from>
                  <to>
                    <xdr:col>6</xdr:col>
                    <xdr:colOff>114300</xdr:colOff>
                    <xdr:row>639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73" name="Check Box 50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38100</xdr:rowOff>
                  </from>
                  <to>
                    <xdr:col>1</xdr:col>
                    <xdr:colOff>514350</xdr:colOff>
                    <xdr:row>643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74" name="Check Box 50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641</xdr:row>
                    <xdr:rowOff>142875</xdr:rowOff>
                  </from>
                  <to>
                    <xdr:col>3</xdr:col>
                    <xdr:colOff>47625</xdr:colOff>
                    <xdr:row>642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75" name="Check Box 50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641</xdr:row>
                    <xdr:rowOff>9525</xdr:rowOff>
                  </from>
                  <to>
                    <xdr:col>6</xdr:col>
                    <xdr:colOff>114300</xdr:colOff>
                    <xdr:row>643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76" name="Check Box 50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38100</xdr:rowOff>
                  </from>
                  <to>
                    <xdr:col>1</xdr:col>
                    <xdr:colOff>514350</xdr:colOff>
                    <xdr:row>647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77" name="Check Box 50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645</xdr:row>
                    <xdr:rowOff>142875</xdr:rowOff>
                  </from>
                  <to>
                    <xdr:col>3</xdr:col>
                    <xdr:colOff>47625</xdr:colOff>
                    <xdr:row>646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478" name="Check Box 50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645</xdr:row>
                    <xdr:rowOff>9525</xdr:rowOff>
                  </from>
                  <to>
                    <xdr:col>6</xdr:col>
                    <xdr:colOff>114300</xdr:colOff>
                    <xdr:row>647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479" name="Check Box 50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38100</xdr:rowOff>
                  </from>
                  <to>
                    <xdr:col>1</xdr:col>
                    <xdr:colOff>514350</xdr:colOff>
                    <xdr:row>651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480" name="Check Box 51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649</xdr:row>
                    <xdr:rowOff>142875</xdr:rowOff>
                  </from>
                  <to>
                    <xdr:col>3</xdr:col>
                    <xdr:colOff>47625</xdr:colOff>
                    <xdr:row>650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481" name="Check Box 51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649</xdr:row>
                    <xdr:rowOff>9525</xdr:rowOff>
                  </from>
                  <to>
                    <xdr:col>6</xdr:col>
                    <xdr:colOff>114300</xdr:colOff>
                    <xdr:row>651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482" name="Check Box 51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38100</xdr:rowOff>
                  </from>
                  <to>
                    <xdr:col>1</xdr:col>
                    <xdr:colOff>514350</xdr:colOff>
                    <xdr:row>655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483" name="Check Box 51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653</xdr:row>
                    <xdr:rowOff>142875</xdr:rowOff>
                  </from>
                  <to>
                    <xdr:col>3</xdr:col>
                    <xdr:colOff>47625</xdr:colOff>
                    <xdr:row>654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484" name="Check Box 51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653</xdr:row>
                    <xdr:rowOff>9525</xdr:rowOff>
                  </from>
                  <to>
                    <xdr:col>5</xdr:col>
                    <xdr:colOff>742950</xdr:colOff>
                    <xdr:row>655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485" name="Check Box 51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38100</xdr:rowOff>
                  </from>
                  <to>
                    <xdr:col>1</xdr:col>
                    <xdr:colOff>514350</xdr:colOff>
                    <xdr:row>659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486" name="Check Box 51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657</xdr:row>
                    <xdr:rowOff>142875</xdr:rowOff>
                  </from>
                  <to>
                    <xdr:col>3</xdr:col>
                    <xdr:colOff>47625</xdr:colOff>
                    <xdr:row>658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487" name="Check Box 51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657</xdr:row>
                    <xdr:rowOff>9525</xdr:rowOff>
                  </from>
                  <to>
                    <xdr:col>5</xdr:col>
                    <xdr:colOff>771525</xdr:colOff>
                    <xdr:row>659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488" name="Check Box 51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38100</xdr:rowOff>
                  </from>
                  <to>
                    <xdr:col>1</xdr:col>
                    <xdr:colOff>514350</xdr:colOff>
                    <xdr:row>663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489" name="Check Box 51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661</xdr:row>
                    <xdr:rowOff>142875</xdr:rowOff>
                  </from>
                  <to>
                    <xdr:col>3</xdr:col>
                    <xdr:colOff>47625</xdr:colOff>
                    <xdr:row>662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490" name="Check Box 52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661</xdr:row>
                    <xdr:rowOff>9525</xdr:rowOff>
                  </from>
                  <to>
                    <xdr:col>5</xdr:col>
                    <xdr:colOff>790575</xdr:colOff>
                    <xdr:row>663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491" name="Check Box 52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38100</xdr:rowOff>
                  </from>
                  <to>
                    <xdr:col>1</xdr:col>
                    <xdr:colOff>514350</xdr:colOff>
                    <xdr:row>667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492" name="Check Box 52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665</xdr:row>
                    <xdr:rowOff>142875</xdr:rowOff>
                  </from>
                  <to>
                    <xdr:col>3</xdr:col>
                    <xdr:colOff>47625</xdr:colOff>
                    <xdr:row>666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493" name="Check Box 52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665</xdr:row>
                    <xdr:rowOff>9525</xdr:rowOff>
                  </from>
                  <to>
                    <xdr:col>5</xdr:col>
                    <xdr:colOff>771525</xdr:colOff>
                    <xdr:row>667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494" name="Check Box 52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38100</xdr:rowOff>
                  </from>
                  <to>
                    <xdr:col>1</xdr:col>
                    <xdr:colOff>514350</xdr:colOff>
                    <xdr:row>671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495" name="Check Box 52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669</xdr:row>
                    <xdr:rowOff>142875</xdr:rowOff>
                  </from>
                  <to>
                    <xdr:col>3</xdr:col>
                    <xdr:colOff>47625</xdr:colOff>
                    <xdr:row>670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496" name="Check Box 52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669</xdr:row>
                    <xdr:rowOff>9525</xdr:rowOff>
                  </from>
                  <to>
                    <xdr:col>6</xdr:col>
                    <xdr:colOff>114300</xdr:colOff>
                    <xdr:row>671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497" name="Check Box 52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38100</xdr:rowOff>
                  </from>
                  <to>
                    <xdr:col>1</xdr:col>
                    <xdr:colOff>514350</xdr:colOff>
                    <xdr:row>675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498" name="Check Box 52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673</xdr:row>
                    <xdr:rowOff>142875</xdr:rowOff>
                  </from>
                  <to>
                    <xdr:col>3</xdr:col>
                    <xdr:colOff>47625</xdr:colOff>
                    <xdr:row>674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499" name="Check Box 52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673</xdr:row>
                    <xdr:rowOff>9525</xdr:rowOff>
                  </from>
                  <to>
                    <xdr:col>5</xdr:col>
                    <xdr:colOff>762000</xdr:colOff>
                    <xdr:row>675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500" name="Check Box 53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38100</xdr:rowOff>
                  </from>
                  <to>
                    <xdr:col>1</xdr:col>
                    <xdr:colOff>514350</xdr:colOff>
                    <xdr:row>679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501" name="Check Box 53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677</xdr:row>
                    <xdr:rowOff>142875</xdr:rowOff>
                  </from>
                  <to>
                    <xdr:col>3</xdr:col>
                    <xdr:colOff>47625</xdr:colOff>
                    <xdr:row>678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502" name="Check Box 53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677</xdr:row>
                    <xdr:rowOff>9525</xdr:rowOff>
                  </from>
                  <to>
                    <xdr:col>6</xdr:col>
                    <xdr:colOff>114300</xdr:colOff>
                    <xdr:row>679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503" name="Check Box 53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38100</xdr:rowOff>
                  </from>
                  <to>
                    <xdr:col>1</xdr:col>
                    <xdr:colOff>514350</xdr:colOff>
                    <xdr:row>683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504" name="Check Box 53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681</xdr:row>
                    <xdr:rowOff>142875</xdr:rowOff>
                  </from>
                  <to>
                    <xdr:col>3</xdr:col>
                    <xdr:colOff>47625</xdr:colOff>
                    <xdr:row>682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505" name="Check Box 53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681</xdr:row>
                    <xdr:rowOff>9525</xdr:rowOff>
                  </from>
                  <to>
                    <xdr:col>6</xdr:col>
                    <xdr:colOff>114300</xdr:colOff>
                    <xdr:row>683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506" name="Check Box 53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38100</xdr:rowOff>
                  </from>
                  <to>
                    <xdr:col>1</xdr:col>
                    <xdr:colOff>514350</xdr:colOff>
                    <xdr:row>687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507" name="Check Box 53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685</xdr:row>
                    <xdr:rowOff>142875</xdr:rowOff>
                  </from>
                  <to>
                    <xdr:col>3</xdr:col>
                    <xdr:colOff>47625</xdr:colOff>
                    <xdr:row>686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508" name="Check Box 53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685</xdr:row>
                    <xdr:rowOff>9525</xdr:rowOff>
                  </from>
                  <to>
                    <xdr:col>6</xdr:col>
                    <xdr:colOff>114300</xdr:colOff>
                    <xdr:row>687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509" name="Check Box 53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38100</xdr:rowOff>
                  </from>
                  <to>
                    <xdr:col>1</xdr:col>
                    <xdr:colOff>514350</xdr:colOff>
                    <xdr:row>611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510" name="Check Box 54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613</xdr:row>
                    <xdr:rowOff>142875</xdr:rowOff>
                  </from>
                  <to>
                    <xdr:col>3</xdr:col>
                    <xdr:colOff>47625</xdr:colOff>
                    <xdr:row>614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511" name="Check Box 54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613</xdr:row>
                    <xdr:rowOff>9525</xdr:rowOff>
                  </from>
                  <to>
                    <xdr:col>5</xdr:col>
                    <xdr:colOff>790575</xdr:colOff>
                    <xdr:row>615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512" name="Check Box 54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38100</xdr:rowOff>
                  </from>
                  <to>
                    <xdr:col>1</xdr:col>
                    <xdr:colOff>514350</xdr:colOff>
                    <xdr:row>615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513" name="Check Box 544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38100</xdr:rowOff>
                  </from>
                  <to>
                    <xdr:col>1</xdr:col>
                    <xdr:colOff>514350</xdr:colOff>
                    <xdr:row>691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514" name="Check Box 545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689</xdr:row>
                    <xdr:rowOff>142875</xdr:rowOff>
                  </from>
                  <to>
                    <xdr:col>3</xdr:col>
                    <xdr:colOff>47625</xdr:colOff>
                    <xdr:row>690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515" name="Check Box 546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689</xdr:row>
                    <xdr:rowOff>9525</xdr:rowOff>
                  </from>
                  <to>
                    <xdr:col>6</xdr:col>
                    <xdr:colOff>114300</xdr:colOff>
                    <xdr:row>691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516" name="Check Box 547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38100</xdr:rowOff>
                  </from>
                  <to>
                    <xdr:col>1</xdr:col>
                    <xdr:colOff>514350</xdr:colOff>
                    <xdr:row>695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517" name="Check Box 548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693</xdr:row>
                    <xdr:rowOff>142875</xdr:rowOff>
                  </from>
                  <to>
                    <xdr:col>3</xdr:col>
                    <xdr:colOff>47625</xdr:colOff>
                    <xdr:row>694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518" name="Check Box 549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693</xdr:row>
                    <xdr:rowOff>9525</xdr:rowOff>
                  </from>
                  <to>
                    <xdr:col>6</xdr:col>
                    <xdr:colOff>114300</xdr:colOff>
                    <xdr:row>695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519" name="Check Box 550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38100</xdr:rowOff>
                  </from>
                  <to>
                    <xdr:col>1</xdr:col>
                    <xdr:colOff>514350</xdr:colOff>
                    <xdr:row>699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520" name="Check Box 551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697</xdr:row>
                    <xdr:rowOff>142875</xdr:rowOff>
                  </from>
                  <to>
                    <xdr:col>3</xdr:col>
                    <xdr:colOff>47625</xdr:colOff>
                    <xdr:row>698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521" name="Check Box 552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697</xdr:row>
                    <xdr:rowOff>9525</xdr:rowOff>
                  </from>
                  <to>
                    <xdr:col>6</xdr:col>
                    <xdr:colOff>114300</xdr:colOff>
                    <xdr:row>699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522" name="Check Box 55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38100</xdr:rowOff>
                  </from>
                  <to>
                    <xdr:col>1</xdr:col>
                    <xdr:colOff>514350</xdr:colOff>
                    <xdr:row>703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523" name="Check Box 55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701</xdr:row>
                    <xdr:rowOff>142875</xdr:rowOff>
                  </from>
                  <to>
                    <xdr:col>3</xdr:col>
                    <xdr:colOff>47625</xdr:colOff>
                    <xdr:row>702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524" name="Check Box 55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701</xdr:row>
                    <xdr:rowOff>9525</xdr:rowOff>
                  </from>
                  <to>
                    <xdr:col>6</xdr:col>
                    <xdr:colOff>114300</xdr:colOff>
                    <xdr:row>703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525" name="Check Box 55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38100</xdr:rowOff>
                  </from>
                  <to>
                    <xdr:col>1</xdr:col>
                    <xdr:colOff>514350</xdr:colOff>
                    <xdr:row>707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526" name="Check Box 55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705</xdr:row>
                    <xdr:rowOff>142875</xdr:rowOff>
                  </from>
                  <to>
                    <xdr:col>3</xdr:col>
                    <xdr:colOff>47625</xdr:colOff>
                    <xdr:row>706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527" name="Check Box 55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705</xdr:row>
                    <xdr:rowOff>9525</xdr:rowOff>
                  </from>
                  <to>
                    <xdr:col>6</xdr:col>
                    <xdr:colOff>114300</xdr:colOff>
                    <xdr:row>707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528" name="Check Box 55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38100</xdr:rowOff>
                  </from>
                  <to>
                    <xdr:col>1</xdr:col>
                    <xdr:colOff>514350</xdr:colOff>
                    <xdr:row>711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529" name="Check Box 56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709</xdr:row>
                    <xdr:rowOff>142875</xdr:rowOff>
                  </from>
                  <to>
                    <xdr:col>3</xdr:col>
                    <xdr:colOff>47625</xdr:colOff>
                    <xdr:row>710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530" name="Check Box 56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709</xdr:row>
                    <xdr:rowOff>9525</xdr:rowOff>
                  </from>
                  <to>
                    <xdr:col>6</xdr:col>
                    <xdr:colOff>114300</xdr:colOff>
                    <xdr:row>711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531" name="Check Box 56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38100</xdr:rowOff>
                  </from>
                  <to>
                    <xdr:col>1</xdr:col>
                    <xdr:colOff>514350</xdr:colOff>
                    <xdr:row>715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532" name="Check Box 56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713</xdr:row>
                    <xdr:rowOff>142875</xdr:rowOff>
                  </from>
                  <to>
                    <xdr:col>3</xdr:col>
                    <xdr:colOff>47625</xdr:colOff>
                    <xdr:row>714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533" name="Check Box 56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713</xdr:row>
                    <xdr:rowOff>9525</xdr:rowOff>
                  </from>
                  <to>
                    <xdr:col>6</xdr:col>
                    <xdr:colOff>114300</xdr:colOff>
                    <xdr:row>715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534" name="Check Box 56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38100</xdr:rowOff>
                  </from>
                  <to>
                    <xdr:col>1</xdr:col>
                    <xdr:colOff>514350</xdr:colOff>
                    <xdr:row>719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535" name="Check Box 56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717</xdr:row>
                    <xdr:rowOff>142875</xdr:rowOff>
                  </from>
                  <to>
                    <xdr:col>3</xdr:col>
                    <xdr:colOff>47625</xdr:colOff>
                    <xdr:row>718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536" name="Check Box 56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717</xdr:row>
                    <xdr:rowOff>9525</xdr:rowOff>
                  </from>
                  <to>
                    <xdr:col>6</xdr:col>
                    <xdr:colOff>114300</xdr:colOff>
                    <xdr:row>719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537" name="Check Box 56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38100</xdr:rowOff>
                  </from>
                  <to>
                    <xdr:col>1</xdr:col>
                    <xdr:colOff>514350</xdr:colOff>
                    <xdr:row>723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538" name="Check Box 56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721</xdr:row>
                    <xdr:rowOff>142875</xdr:rowOff>
                  </from>
                  <to>
                    <xdr:col>3</xdr:col>
                    <xdr:colOff>47625</xdr:colOff>
                    <xdr:row>722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539" name="Check Box 57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721</xdr:row>
                    <xdr:rowOff>9525</xdr:rowOff>
                  </from>
                  <to>
                    <xdr:col>6</xdr:col>
                    <xdr:colOff>114300</xdr:colOff>
                    <xdr:row>723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540" name="Check Box 57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38100</xdr:rowOff>
                  </from>
                  <to>
                    <xdr:col>1</xdr:col>
                    <xdr:colOff>514350</xdr:colOff>
                    <xdr:row>727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541" name="Check Box 57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725</xdr:row>
                    <xdr:rowOff>142875</xdr:rowOff>
                  </from>
                  <to>
                    <xdr:col>3</xdr:col>
                    <xdr:colOff>47625</xdr:colOff>
                    <xdr:row>726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542" name="Check Box 57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725</xdr:row>
                    <xdr:rowOff>9525</xdr:rowOff>
                  </from>
                  <to>
                    <xdr:col>6</xdr:col>
                    <xdr:colOff>114300</xdr:colOff>
                    <xdr:row>727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543" name="Check Box 583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38100</xdr:rowOff>
                  </from>
                  <to>
                    <xdr:col>1</xdr:col>
                    <xdr:colOff>514350</xdr:colOff>
                    <xdr:row>731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544" name="Check Box 584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729</xdr:row>
                    <xdr:rowOff>142875</xdr:rowOff>
                  </from>
                  <to>
                    <xdr:col>3</xdr:col>
                    <xdr:colOff>47625</xdr:colOff>
                    <xdr:row>730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545" name="Check Box 585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729</xdr:row>
                    <xdr:rowOff>9525</xdr:rowOff>
                  </from>
                  <to>
                    <xdr:col>6</xdr:col>
                    <xdr:colOff>114300</xdr:colOff>
                    <xdr:row>731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546" name="Check Box 586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38100</xdr:rowOff>
                  </from>
                  <to>
                    <xdr:col>1</xdr:col>
                    <xdr:colOff>514350</xdr:colOff>
                    <xdr:row>735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547" name="Check Box 587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733</xdr:row>
                    <xdr:rowOff>142875</xdr:rowOff>
                  </from>
                  <to>
                    <xdr:col>3</xdr:col>
                    <xdr:colOff>47625</xdr:colOff>
                    <xdr:row>734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548" name="Check Box 588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733</xdr:row>
                    <xdr:rowOff>9525</xdr:rowOff>
                  </from>
                  <to>
                    <xdr:col>5</xdr:col>
                    <xdr:colOff>571500</xdr:colOff>
                    <xdr:row>735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49" name="Check Box 589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38100</xdr:rowOff>
                  </from>
                  <to>
                    <xdr:col>1</xdr:col>
                    <xdr:colOff>514350</xdr:colOff>
                    <xdr:row>739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550" name="Check Box 590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737</xdr:row>
                    <xdr:rowOff>142875</xdr:rowOff>
                  </from>
                  <to>
                    <xdr:col>3</xdr:col>
                    <xdr:colOff>47625</xdr:colOff>
                    <xdr:row>738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551" name="Check Box 591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737</xdr:row>
                    <xdr:rowOff>9525</xdr:rowOff>
                  </from>
                  <to>
                    <xdr:col>6</xdr:col>
                    <xdr:colOff>114300</xdr:colOff>
                    <xdr:row>739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552" name="Check Box 592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38100</xdr:rowOff>
                  </from>
                  <to>
                    <xdr:col>1</xdr:col>
                    <xdr:colOff>514350</xdr:colOff>
                    <xdr:row>743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553" name="Check Box 593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741</xdr:row>
                    <xdr:rowOff>142875</xdr:rowOff>
                  </from>
                  <to>
                    <xdr:col>3</xdr:col>
                    <xdr:colOff>47625</xdr:colOff>
                    <xdr:row>742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554" name="Check Box 594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741</xdr:row>
                    <xdr:rowOff>9525</xdr:rowOff>
                  </from>
                  <to>
                    <xdr:col>6</xdr:col>
                    <xdr:colOff>114300</xdr:colOff>
                    <xdr:row>743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555" name="Check Box 595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38100</xdr:rowOff>
                  </from>
                  <to>
                    <xdr:col>1</xdr:col>
                    <xdr:colOff>514350</xdr:colOff>
                    <xdr:row>747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556" name="Check Box 596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745</xdr:row>
                    <xdr:rowOff>142875</xdr:rowOff>
                  </from>
                  <to>
                    <xdr:col>3</xdr:col>
                    <xdr:colOff>47625</xdr:colOff>
                    <xdr:row>746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557" name="Check Box 597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745</xdr:row>
                    <xdr:rowOff>9525</xdr:rowOff>
                  </from>
                  <to>
                    <xdr:col>6</xdr:col>
                    <xdr:colOff>114300</xdr:colOff>
                    <xdr:row>747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558" name="Check Box 598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38100</xdr:rowOff>
                  </from>
                  <to>
                    <xdr:col>1</xdr:col>
                    <xdr:colOff>514350</xdr:colOff>
                    <xdr:row>751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559" name="Check Box 599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749</xdr:row>
                    <xdr:rowOff>142875</xdr:rowOff>
                  </from>
                  <to>
                    <xdr:col>3</xdr:col>
                    <xdr:colOff>47625</xdr:colOff>
                    <xdr:row>750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560" name="Check Box 600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749</xdr:row>
                    <xdr:rowOff>9525</xdr:rowOff>
                  </from>
                  <to>
                    <xdr:col>6</xdr:col>
                    <xdr:colOff>114300</xdr:colOff>
                    <xdr:row>751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561" name="Check Box 601">
              <controlPr locked="0"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38100</xdr:rowOff>
                  </from>
                  <to>
                    <xdr:col>1</xdr:col>
                    <xdr:colOff>514350</xdr:colOff>
                    <xdr:row>755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562" name="Check Box 602">
              <controlPr locked="0" defaultSize="0" autoFill="0" autoLine="0" autoPict="0">
                <anchor moveWithCells="1">
                  <from>
                    <xdr:col>1</xdr:col>
                    <xdr:colOff>723900</xdr:colOff>
                    <xdr:row>753</xdr:row>
                    <xdr:rowOff>142875</xdr:rowOff>
                  </from>
                  <to>
                    <xdr:col>3</xdr:col>
                    <xdr:colOff>47625</xdr:colOff>
                    <xdr:row>754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563" name="Check Box 603">
              <controlPr locked="0" defaultSize="0" autoFill="0" autoLine="0" autoPict="0">
                <anchor moveWithCells="1">
                  <from>
                    <xdr:col>3</xdr:col>
                    <xdr:colOff>714375</xdr:colOff>
                    <xdr:row>753</xdr:row>
                    <xdr:rowOff>9525</xdr:rowOff>
                  </from>
                  <to>
                    <xdr:col>6</xdr:col>
                    <xdr:colOff>114300</xdr:colOff>
                    <xdr:row>755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564" name="Check Box 604">
              <controlPr locked="0" defaultSize="0" autoFill="0" autoLine="0" autoPict="0">
                <anchor moveWithCells="1">
                  <from>
                    <xdr:col>1</xdr:col>
                    <xdr:colOff>714375</xdr:colOff>
                    <xdr:row>485</xdr:row>
                    <xdr:rowOff>133350</xdr:rowOff>
                  </from>
                  <to>
                    <xdr:col>3</xdr:col>
                    <xdr:colOff>38100</xdr:colOff>
                    <xdr:row>486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Y232"/>
  <sheetViews>
    <sheetView showGridLines="0" workbookViewId="0">
      <selection activeCell="A122" sqref="A122"/>
    </sheetView>
  </sheetViews>
  <sheetFormatPr baseColWidth="10" defaultColWidth="11.42578125" defaultRowHeight="15" x14ac:dyDescent="0.25"/>
  <cols>
    <col min="1" max="1" width="10.85546875" style="31" bestFit="1" customWidth="1"/>
    <col min="2" max="4" width="3.7109375" style="32" customWidth="1"/>
    <col min="5" max="5" width="9" style="31" bestFit="1" customWidth="1"/>
    <col min="6" max="6" width="3.7109375" style="14" customWidth="1"/>
    <col min="7" max="7" width="8" style="14" bestFit="1" customWidth="1"/>
    <col min="8" max="8" width="6.5703125" style="32" bestFit="1" customWidth="1"/>
    <col min="9" max="9" width="10.42578125" style="32" bestFit="1" customWidth="1"/>
    <col min="10" max="12" width="11.42578125" style="14"/>
    <col min="13" max="16" width="5.7109375" style="14" customWidth="1"/>
    <col min="17" max="17" width="6.140625" style="14" bestFit="1" customWidth="1"/>
    <col min="18" max="18" width="7.85546875" style="14" bestFit="1" customWidth="1"/>
    <col min="19" max="19" width="6.140625" style="14" bestFit="1" customWidth="1"/>
    <col min="20" max="22" width="5.7109375" style="14" customWidth="1"/>
    <col min="23" max="23" width="7" style="14" bestFit="1" customWidth="1"/>
    <col min="24" max="16384" width="11.42578125" style="14"/>
  </cols>
  <sheetData>
    <row r="1" spans="1:25" ht="15.75" thickBot="1" x14ac:dyDescent="0.3">
      <c r="A1" s="56" t="s">
        <v>0</v>
      </c>
      <c r="B1" s="57"/>
      <c r="C1" s="57"/>
      <c r="D1" s="57"/>
      <c r="E1" s="58"/>
      <c r="G1" s="56" t="s">
        <v>37</v>
      </c>
      <c r="H1" s="57"/>
      <c r="I1" s="58"/>
      <c r="K1" s="89" t="s">
        <v>71</v>
      </c>
      <c r="L1" s="90"/>
      <c r="M1" s="83" t="s">
        <v>38</v>
      </c>
      <c r="N1" s="84"/>
      <c r="O1" s="84"/>
      <c r="P1" s="84"/>
      <c r="Q1" s="84"/>
      <c r="R1" s="84"/>
      <c r="S1" s="84"/>
      <c r="T1" s="84"/>
      <c r="U1" s="84"/>
      <c r="V1" s="84"/>
      <c r="W1" s="85"/>
      <c r="X1" s="89" t="s">
        <v>72</v>
      </c>
      <c r="Y1" s="90"/>
    </row>
    <row r="2" spans="1:25" ht="15.75" customHeight="1" thickBot="1" x14ac:dyDescent="0.3">
      <c r="A2" s="15" t="s">
        <v>15</v>
      </c>
      <c r="B2" s="16" t="s">
        <v>1</v>
      </c>
      <c r="C2" s="17" t="s">
        <v>2</v>
      </c>
      <c r="D2" s="16" t="s">
        <v>3</v>
      </c>
      <c r="E2" s="18" t="s">
        <v>20</v>
      </c>
      <c r="G2" s="19" t="s">
        <v>34</v>
      </c>
      <c r="H2" s="19" t="s">
        <v>35</v>
      </c>
      <c r="I2" s="19" t="s">
        <v>36</v>
      </c>
      <c r="K2" s="91"/>
      <c r="L2" s="92"/>
      <c r="M2" s="86"/>
      <c r="N2" s="87"/>
      <c r="O2" s="87"/>
      <c r="P2" s="87"/>
      <c r="Q2" s="87"/>
      <c r="R2" s="87"/>
      <c r="S2" s="87"/>
      <c r="T2" s="87"/>
      <c r="U2" s="87"/>
      <c r="V2" s="87"/>
      <c r="W2" s="88"/>
      <c r="X2" s="91"/>
      <c r="Y2" s="92"/>
    </row>
    <row r="3" spans="1:25" ht="15" customHeight="1" x14ac:dyDescent="0.25">
      <c r="A3" s="20">
        <v>3</v>
      </c>
      <c r="B3" s="21">
        <v>2</v>
      </c>
      <c r="C3" s="21">
        <v>1</v>
      </c>
      <c r="D3" s="22">
        <v>0</v>
      </c>
      <c r="E3" s="40">
        <f>CUESTIONARIO!I19</f>
        <v>0</v>
      </c>
      <c r="G3" s="23" t="s">
        <v>1</v>
      </c>
      <c r="H3" s="40">
        <f>SUM(E3:E12)</f>
        <v>0</v>
      </c>
      <c r="I3" s="41">
        <f>IF(AND(H3&gt;=0,H3&lt;=3),1,IF(AND(H3&gt;=4,H3&lt;=5),2,IF(AND(H3&gt;=6,H3&lt;=7),3,IF(H3=8,4,IF(AND(H3&gt;=9,H3&lt;=10),5,IF(AND(H3&gt;=11,H3&lt;=12),6,IF(H3=13,7,IF(AND(H3&gt;=14,H3&lt;=15),8,IF(H3=16,9,IF(AND(H3&gt;=18,H3&lt;=20),10,""))))))))))</f>
        <v>1</v>
      </c>
      <c r="K3" s="62" t="s">
        <v>41</v>
      </c>
      <c r="L3" s="63"/>
      <c r="M3" s="74" t="str">
        <f>IF($I$3=1,"X",".")</f>
        <v>X</v>
      </c>
      <c r="N3" s="74" t="str">
        <f>IF($I$3=2,"X",".")</f>
        <v>.</v>
      </c>
      <c r="O3" s="74" t="str">
        <f>IF($I$3=3,"X",".")</f>
        <v>.</v>
      </c>
      <c r="P3" s="74" t="str">
        <f>IF($I$3=4,"X",".")</f>
        <v>.</v>
      </c>
      <c r="Q3" s="74" t="str">
        <f>IF($I$3=5,"X",".")</f>
        <v>.</v>
      </c>
      <c r="R3" s="82" t="s">
        <v>1</v>
      </c>
      <c r="S3" s="79" t="str">
        <f>IF($I$3=6,"X",".")</f>
        <v>.</v>
      </c>
      <c r="T3" s="79" t="str">
        <f>IF($I$3=7,"X",".")</f>
        <v>.</v>
      </c>
      <c r="U3" s="79" t="str">
        <f>IF($I$3=8,"X",".")</f>
        <v>.</v>
      </c>
      <c r="V3" s="79" t="str">
        <f>IF($I$3=9,"X",".")</f>
        <v>.</v>
      </c>
      <c r="W3" s="79" t="str">
        <f>IF($I$3=10,"X",".")</f>
        <v>.</v>
      </c>
      <c r="X3" s="62" t="s">
        <v>55</v>
      </c>
      <c r="Y3" s="63"/>
    </row>
    <row r="4" spans="1:25" ht="15" customHeight="1" x14ac:dyDescent="0.25">
      <c r="A4" s="24">
        <v>26</v>
      </c>
      <c r="B4" s="25">
        <v>0</v>
      </c>
      <c r="C4" s="25">
        <v>1</v>
      </c>
      <c r="D4" s="26">
        <v>2</v>
      </c>
      <c r="E4" s="44">
        <f>CUESTIONARIO!I111</f>
        <v>0</v>
      </c>
      <c r="G4" s="27" t="s">
        <v>2</v>
      </c>
      <c r="H4" s="44">
        <f>SUM(E116:E128)</f>
        <v>0</v>
      </c>
      <c r="I4" s="42">
        <f>IF(AND(H4&gt;=0,H4&lt;=1),1,IF(H4=2,2,IF(AND(H4&gt;=3,H4&lt;=4),3,IF(H4=5,4,IF(H4=6,5,IF(H4=7,6,IF(H4=8,7,IF(H4="",8,IF(H4=9,9,IF(AND(H4&gt;=10,H4&lt;=13),10,""))))))))))</f>
        <v>1</v>
      </c>
      <c r="K4" s="64"/>
      <c r="L4" s="65"/>
      <c r="M4" s="74"/>
      <c r="N4" s="74"/>
      <c r="O4" s="74"/>
      <c r="P4" s="74"/>
      <c r="Q4" s="74"/>
      <c r="R4" s="82"/>
      <c r="S4" s="79"/>
      <c r="T4" s="79"/>
      <c r="U4" s="79"/>
      <c r="V4" s="79"/>
      <c r="W4" s="79"/>
      <c r="X4" s="64"/>
      <c r="Y4" s="65"/>
    </row>
    <row r="5" spans="1:25" ht="15" customHeight="1" thickBot="1" x14ac:dyDescent="0.3">
      <c r="A5" s="24">
        <v>27</v>
      </c>
      <c r="B5" s="25">
        <v>0</v>
      </c>
      <c r="C5" s="25">
        <v>1</v>
      </c>
      <c r="D5" s="26">
        <v>2</v>
      </c>
      <c r="E5" s="44">
        <f>CUESTIONARIO!I115</f>
        <v>0</v>
      </c>
      <c r="G5" s="27" t="s">
        <v>3</v>
      </c>
      <c r="H5" s="44">
        <f>SUM(E16:E28)</f>
        <v>0</v>
      </c>
      <c r="I5" s="42">
        <f>IF(AND(H5&gt;=0,H5&lt;=9),1,IF(AND(H5&gt;=10,H5&lt;=12),2,IF(AND(H5&gt;=13,H5&lt;=14),3,IF(AND(H5&gt;=15,H5&lt;=17),4,IF(AND(H5&gt;=18,H5&lt;=19),5,IF(AND(H5&gt;=20,H5&lt;=21),6,IF(AND(H5&gt;=22,H5&lt;=23),7,IF(H5=24,8,IF(H5=25,9,IF(H5=26,10,""))))))))))</f>
        <v>1</v>
      </c>
      <c r="K5" s="66"/>
      <c r="L5" s="67"/>
      <c r="M5" s="74"/>
      <c r="N5" s="74"/>
      <c r="O5" s="74"/>
      <c r="P5" s="74"/>
      <c r="Q5" s="74"/>
      <c r="R5" s="82"/>
      <c r="S5" s="79"/>
      <c r="T5" s="79"/>
      <c r="U5" s="79"/>
      <c r="V5" s="79"/>
      <c r="W5" s="79"/>
      <c r="X5" s="66"/>
      <c r="Y5" s="67"/>
    </row>
    <row r="6" spans="1:25" ht="15" customHeight="1" x14ac:dyDescent="0.25">
      <c r="A6" s="24">
        <v>51</v>
      </c>
      <c r="B6" s="25">
        <v>0</v>
      </c>
      <c r="C6" s="25">
        <v>1</v>
      </c>
      <c r="D6" s="26">
        <v>2</v>
      </c>
      <c r="E6" s="44">
        <f>CUESTIONARIO!I211</f>
        <v>0</v>
      </c>
      <c r="G6" s="27" t="s">
        <v>21</v>
      </c>
      <c r="H6" s="44">
        <f>SUM(E132:E144)</f>
        <v>0</v>
      </c>
      <c r="I6" s="42">
        <f>IF(AND(H6&gt;=0,H6&lt;=5),1,IF(H6=6,2,IF(H6=7,3,IF(AND(H6&gt;=8,H6&lt;=9),4,IF(AND(H6&gt;=10,H6&lt;=11),5,IF(AND(H6&gt;=12,H6&lt;=13),6,IF(AND(H6&gt;=14,H6&lt;=15),7,IF(AND(H6&gt;=16,H6&gt;=18),8,IF(AND(H6&gt;=19,H6&lt;=20),9,IF(AND(H6&gt;=21,H6&lt;=26),10,""))))))))))</f>
        <v>1</v>
      </c>
      <c r="K6" s="62" t="s">
        <v>40</v>
      </c>
      <c r="L6" s="63"/>
      <c r="M6" s="74" t="str">
        <f>IF($I$4=1,"X",".")</f>
        <v>X</v>
      </c>
      <c r="N6" s="74" t="str">
        <f>IF($I$4=2,"X",".")</f>
        <v>.</v>
      </c>
      <c r="O6" s="74" t="str">
        <f>IF($I$4=3,"X",".")</f>
        <v>.</v>
      </c>
      <c r="P6" s="74" t="str">
        <f>IF($I$4=4,"X",".")</f>
        <v>.</v>
      </c>
      <c r="Q6" s="74" t="str">
        <f>IF($I$4=5,"X",".")</f>
        <v>.</v>
      </c>
      <c r="R6" s="82" t="s">
        <v>2</v>
      </c>
      <c r="S6" s="79" t="str">
        <f>IF($I$4=6,"X",".")</f>
        <v>.</v>
      </c>
      <c r="T6" s="79" t="str">
        <f>IF($I$4=7,"X",".")</f>
        <v>.</v>
      </c>
      <c r="U6" s="79" t="str">
        <f>IF($I$4=8,"X",".")</f>
        <v>.</v>
      </c>
      <c r="V6" s="79" t="str">
        <f>IF($I$4=9,"X",".")</f>
        <v>.</v>
      </c>
      <c r="W6" s="79" t="str">
        <f>IF($I$4=10,"X",".")</f>
        <v>.</v>
      </c>
      <c r="X6" s="62" t="s">
        <v>56</v>
      </c>
      <c r="Y6" s="63"/>
    </row>
    <row r="7" spans="1:25" ht="15" customHeight="1" x14ac:dyDescent="0.25">
      <c r="A7" s="24">
        <v>52</v>
      </c>
      <c r="B7" s="25">
        <v>2</v>
      </c>
      <c r="C7" s="25">
        <v>1</v>
      </c>
      <c r="D7" s="26">
        <v>0</v>
      </c>
      <c r="E7" s="44">
        <f>CUESTIONARIO!I215</f>
        <v>0</v>
      </c>
      <c r="G7" s="27" t="s">
        <v>22</v>
      </c>
      <c r="H7" s="44">
        <f>SUM(E32:E44)</f>
        <v>0</v>
      </c>
      <c r="I7" s="42">
        <f>IF(AND(H7&gt;=0,H7&lt;=4),1,IF(AND(H7&gt;=5,H7&lt;=6),2,IF(AND(H7&gt;=7,H7&lt;=8),3,IF(AND(H7&gt;=9,H7&lt;=10),4,IF(AND(H7&gt;=11,H7&lt;=13),5,IF(AND(H7&gt;=14,H7&lt;=15),6,IF(AND(H7&gt;=16,H7&lt;=17),7,IF(AND(H7&gt;=18,H7&lt;=20),8,IF(AND(H7&gt;=21,H7&lt;=22),9,IF(AND(H7&gt;=23,H7&lt;=26),10,""))))))))))</f>
        <v>1</v>
      </c>
      <c r="K7" s="64"/>
      <c r="L7" s="65"/>
      <c r="M7" s="74"/>
      <c r="N7" s="74"/>
      <c r="O7" s="74"/>
      <c r="P7" s="74"/>
      <c r="Q7" s="74"/>
      <c r="R7" s="82"/>
      <c r="S7" s="79"/>
      <c r="T7" s="79"/>
      <c r="U7" s="79"/>
      <c r="V7" s="79"/>
      <c r="W7" s="79"/>
      <c r="X7" s="64"/>
      <c r="Y7" s="65"/>
    </row>
    <row r="8" spans="1:25" ht="15" customHeight="1" thickBot="1" x14ac:dyDescent="0.3">
      <c r="A8" s="24">
        <v>101</v>
      </c>
      <c r="B8" s="25">
        <v>2</v>
      </c>
      <c r="C8" s="25">
        <v>1</v>
      </c>
      <c r="D8" s="26">
        <v>0</v>
      </c>
      <c r="E8" s="44">
        <f>CUESTIONARIO!I411</f>
        <v>0</v>
      </c>
      <c r="G8" s="27" t="s">
        <v>23</v>
      </c>
      <c r="H8" s="44">
        <f>SUM(E148:E157)</f>
        <v>0</v>
      </c>
      <c r="I8" s="42">
        <f>IF(AND(H8&gt;=0,H8&lt;=8),1,IF(H8=9,2,IF(AND(H8&gt;=10,H8&lt;=11),3,IF(H8=12,4,IF(AND(H8&gt;=13,H8&lt;=14),5,IF(AND(H8&gt;=15,H8&lt;=16),6,IF(H8=17,7,IF(H8=18,8,IF(H8=19,9,IF(H8=20,10,""))))))))))</f>
        <v>1</v>
      </c>
      <c r="K8" s="66"/>
      <c r="L8" s="67"/>
      <c r="M8" s="74"/>
      <c r="N8" s="74"/>
      <c r="O8" s="74"/>
      <c r="P8" s="74"/>
      <c r="Q8" s="74"/>
      <c r="R8" s="82"/>
      <c r="S8" s="79"/>
      <c r="T8" s="79"/>
      <c r="U8" s="79"/>
      <c r="V8" s="79"/>
      <c r="W8" s="79"/>
      <c r="X8" s="66"/>
      <c r="Y8" s="67"/>
    </row>
    <row r="9" spans="1:25" ht="15" customHeight="1" x14ac:dyDescent="0.25">
      <c r="A9" s="24">
        <v>126</v>
      </c>
      <c r="B9" s="25">
        <v>2</v>
      </c>
      <c r="C9" s="25">
        <v>1</v>
      </c>
      <c r="D9" s="26">
        <v>0</v>
      </c>
      <c r="E9" s="44">
        <f>CUESTIONARIO!I511</f>
        <v>0</v>
      </c>
      <c r="G9" s="27" t="s">
        <v>24</v>
      </c>
      <c r="H9" s="44">
        <f>SUM(E48:E60)</f>
        <v>0</v>
      </c>
      <c r="I9" s="42">
        <f>IF(AND(H9&gt;=0,H9&lt;=6),1,IF(H9=7,2,IF(AND(H9&gt;=8,H9&lt;=10),3,IF(AND(H9&gt;=11,H9&lt;=13),4,IF(AND(H9&gt;=14,H9&lt;=17),5,IF(AND(H9&gt;=18,H9&lt;=19),6,IF(AND(H9&gt;=20,H9&lt;=22),7,IF(AND(H9&gt;=23,H9&gt;=24),8,IF(H9=25,9,IF(H9=26,10,""))))))))))</f>
        <v>1</v>
      </c>
      <c r="K9" s="68" t="s">
        <v>39</v>
      </c>
      <c r="L9" s="69"/>
      <c r="M9" s="74" t="str">
        <f>IF($I$5=1,"X",".")</f>
        <v>X</v>
      </c>
      <c r="N9" s="74" t="str">
        <f>IF($I$5=2,"X",".")</f>
        <v>.</v>
      </c>
      <c r="O9" s="74" t="str">
        <f>IF($I$5=3,"X",".")</f>
        <v>.</v>
      </c>
      <c r="P9" s="74" t="str">
        <f>IF($I$5=4,"X",".")</f>
        <v>.</v>
      </c>
      <c r="Q9" s="74" t="str">
        <f>IF($I$5=5,"X",".")</f>
        <v>.</v>
      </c>
      <c r="R9" s="82" t="s">
        <v>3</v>
      </c>
      <c r="S9" s="79" t="str">
        <f>IF($I$5=6,"X",".")</f>
        <v>.</v>
      </c>
      <c r="T9" s="79" t="str">
        <f>IF($I$5=7,"X",".")</f>
        <v>.</v>
      </c>
      <c r="U9" s="79" t="str">
        <f>IF($I$5=8,"X",".")</f>
        <v>.</v>
      </c>
      <c r="V9" s="79" t="str">
        <f>IF($I$5=9,"X",".")</f>
        <v>.</v>
      </c>
      <c r="W9" s="79" t="str">
        <f>IF($I$5=10,"X",".")</f>
        <v>.</v>
      </c>
      <c r="X9" s="68" t="s">
        <v>57</v>
      </c>
      <c r="Y9" s="69"/>
    </row>
    <row r="10" spans="1:25" ht="15" customHeight="1" x14ac:dyDescent="0.25">
      <c r="A10" s="24">
        <v>151</v>
      </c>
      <c r="B10" s="25">
        <v>0</v>
      </c>
      <c r="C10" s="25">
        <v>1</v>
      </c>
      <c r="D10" s="26">
        <v>2</v>
      </c>
      <c r="E10" s="44">
        <f>CUESTIONARIO!I611</f>
        <v>0</v>
      </c>
      <c r="G10" s="27" t="s">
        <v>25</v>
      </c>
      <c r="H10" s="44">
        <f>SUM(E161:E170)</f>
        <v>0</v>
      </c>
      <c r="I10" s="42">
        <f>IF(AND(H10&gt;=0,H10&lt;=1),1,IF(AND(H10&gt;=2,H10&lt;=3),2,IF(H10=4,3,IF(H10=5,4,IF(AND(H10&gt;=6,H10&lt;=7),5,IF(AND(H10&gt;=8,H10&lt;=9),6,IF(H10=10,7,IF(AND(H10&gt;=11,H10&gt;=12),8,IF(H10=13,9,IF(AND(H10&gt;=14,H10&lt;=20),10,""))))))))))</f>
        <v>1</v>
      </c>
      <c r="K10" s="70"/>
      <c r="L10" s="71"/>
      <c r="M10" s="74"/>
      <c r="N10" s="74"/>
      <c r="O10" s="74"/>
      <c r="P10" s="74"/>
      <c r="Q10" s="74"/>
      <c r="R10" s="82"/>
      <c r="S10" s="79"/>
      <c r="T10" s="79"/>
      <c r="U10" s="79"/>
      <c r="V10" s="79"/>
      <c r="W10" s="79"/>
      <c r="X10" s="70"/>
      <c r="Y10" s="71"/>
    </row>
    <row r="11" spans="1:25" ht="15" customHeight="1" thickBot="1" x14ac:dyDescent="0.3">
      <c r="A11" s="24">
        <v>176</v>
      </c>
      <c r="B11" s="25">
        <v>2</v>
      </c>
      <c r="C11" s="25">
        <v>1</v>
      </c>
      <c r="D11" s="26">
        <v>0</v>
      </c>
      <c r="E11" s="44">
        <f>CUESTIONARIO!I711</f>
        <v>0</v>
      </c>
      <c r="G11" s="27" t="s">
        <v>26</v>
      </c>
      <c r="H11" s="44">
        <f>SUM(E64:E73)</f>
        <v>0</v>
      </c>
      <c r="I11" s="42">
        <f>IF(AND(H11&gt;=0,H11&lt;=2),1,IF(H11=3,2,IF(AND(H11&gt;=4,H11&lt;=5),3,IF(AND(H11&gt;=6,H11&lt;=7),4,IF(AND(H11&gt;=8,H11&lt;=9),5,IF(H11=10,6,IF(AND(H11&gt;=11,H11&lt;=12),7,IF(AND(H11&gt;=13,H11&gt;=14),8,IF(H11=15,9,IF(AND(H11&gt;=16,H11&lt;=20),10,""))))))))))</f>
        <v>1</v>
      </c>
      <c r="K11" s="72"/>
      <c r="L11" s="73"/>
      <c r="M11" s="74"/>
      <c r="N11" s="74"/>
      <c r="O11" s="74"/>
      <c r="P11" s="74"/>
      <c r="Q11" s="74"/>
      <c r="R11" s="82"/>
      <c r="S11" s="79"/>
      <c r="T11" s="79"/>
      <c r="U11" s="79"/>
      <c r="V11" s="79"/>
      <c r="W11" s="79"/>
      <c r="X11" s="72"/>
      <c r="Y11" s="73"/>
    </row>
    <row r="12" spans="1:25" ht="15.75" customHeight="1" thickBot="1" x14ac:dyDescent="0.3">
      <c r="A12" s="28">
        <v>76</v>
      </c>
      <c r="B12" s="29">
        <v>0</v>
      </c>
      <c r="C12" s="29">
        <v>1</v>
      </c>
      <c r="D12" s="30">
        <v>2</v>
      </c>
      <c r="E12" s="45">
        <f>CUESTIONARIO!I311</f>
        <v>0</v>
      </c>
      <c r="G12" s="27" t="s">
        <v>27</v>
      </c>
      <c r="H12" s="44">
        <f>SUM(E174:E185)</f>
        <v>0</v>
      </c>
      <c r="I12" s="42">
        <f>IF(AND(H12&gt;=0,H12&lt;=6),1,IF(H12=7,2,IF(AND(H12&gt;=8,H12&lt;=9),3,IF(H12=10,4,IF(AND(H12&gt;=11,H12&lt;=12),5,IF(AND(H12&gt;=13,H12&lt;=14),6,IF(AND(H12&gt;=15,H12&lt;=16),7,IF(H12=17,8,IF(H12=18,9,IF(AND(H12&gt;=19,H12&lt;=26),10,""))))))))))</f>
        <v>1</v>
      </c>
      <c r="K12" s="68" t="s">
        <v>42</v>
      </c>
      <c r="L12" s="69"/>
      <c r="M12" s="74" t="str">
        <f>IF($I$6=1,"X",".")</f>
        <v>X</v>
      </c>
      <c r="N12" s="74" t="str">
        <f>IF($I$6=2,"X",".")</f>
        <v>.</v>
      </c>
      <c r="O12" s="74" t="str">
        <f>IF($I$6=3,"X",".")</f>
        <v>.</v>
      </c>
      <c r="P12" s="74" t="str">
        <f>IF($I$6=4,"X",".")</f>
        <v>.</v>
      </c>
      <c r="Q12" s="74" t="str">
        <f>IF($I$6=5,"X",".")</f>
        <v>.</v>
      </c>
      <c r="R12" s="82" t="s">
        <v>21</v>
      </c>
      <c r="S12" s="79" t="str">
        <f>IF($I$6=6,"X",".")</f>
        <v>.</v>
      </c>
      <c r="T12" s="79" t="str">
        <f>IF($I$6=7,"X",".")</f>
        <v>.</v>
      </c>
      <c r="U12" s="79" t="str">
        <f>IF($I$6=8,"X",".")</f>
        <v>.</v>
      </c>
      <c r="V12" s="79" t="str">
        <f>IF($I$6=9,"X",".")</f>
        <v>.</v>
      </c>
      <c r="W12" s="79" t="str">
        <f>IF($I$6=10,"X",".")</f>
        <v>.</v>
      </c>
      <c r="X12" s="68" t="s">
        <v>58</v>
      </c>
      <c r="Y12" s="69"/>
    </row>
    <row r="13" spans="1:25" ht="15.75" customHeight="1" thickBot="1" x14ac:dyDescent="0.3">
      <c r="G13" s="27" t="s">
        <v>28</v>
      </c>
      <c r="H13" s="44">
        <f>SUM(E77:E86)</f>
        <v>0</v>
      </c>
      <c r="I13" s="42">
        <f>IF(AND(H13&gt;=0,H13&lt;=5),1,IF(H13=6,2,IF(AND(H13&gt;=7,H13&lt;=8),3,IF(AND(H13&gt;=9,H13&lt;=10),4,IF(H13=11,5,IF(H13=12,6,IF(AND(H13&gt;=13,H13&lt;=14),7,IF(H13=15,8,IF(AND(H13&gt;=16,H13&lt;=17),9,IF(AND(H13&gt;=18,H13&lt;=20),10,""))))))))))</f>
        <v>1</v>
      </c>
      <c r="K13" s="70"/>
      <c r="L13" s="71"/>
      <c r="M13" s="74"/>
      <c r="N13" s="74"/>
      <c r="O13" s="74"/>
      <c r="P13" s="74"/>
      <c r="Q13" s="74"/>
      <c r="R13" s="82"/>
      <c r="S13" s="79"/>
      <c r="T13" s="79"/>
      <c r="U13" s="79"/>
      <c r="V13" s="79"/>
      <c r="W13" s="79"/>
      <c r="X13" s="70"/>
      <c r="Y13" s="71"/>
    </row>
    <row r="14" spans="1:25" ht="15.75" customHeight="1" thickBot="1" x14ac:dyDescent="0.3">
      <c r="A14" s="56" t="s">
        <v>4</v>
      </c>
      <c r="B14" s="57"/>
      <c r="C14" s="57"/>
      <c r="D14" s="57"/>
      <c r="E14" s="58"/>
      <c r="G14" s="27" t="s">
        <v>29</v>
      </c>
      <c r="H14" s="44">
        <f>SUM(E189:E201)</f>
        <v>0</v>
      </c>
      <c r="I14" s="42">
        <f>IF(AND(H14&gt;=0,H14&lt;=3),1,IF(AND(H14&gt;=4,H14&lt;=5),2,IF(H14=6,3,IF(H14=7,4,IF(AND(H14&gt;=8,H14&lt;=10),5,IF(H14=11,6,IF(AND(H14&gt;=12,H14&lt;=14),7,IF(AND(H14&gt;=15,H14&lt;=16),8,IF(AND(H14&gt;=17,H14&lt;=19),9,IF(AND(H14&gt;=20,H14&lt;=26),10,""))))))))))</f>
        <v>1</v>
      </c>
      <c r="K14" s="72"/>
      <c r="L14" s="73"/>
      <c r="M14" s="74"/>
      <c r="N14" s="74"/>
      <c r="O14" s="74"/>
      <c r="P14" s="74"/>
      <c r="Q14" s="74"/>
      <c r="R14" s="82"/>
      <c r="S14" s="79"/>
      <c r="T14" s="79"/>
      <c r="U14" s="79"/>
      <c r="V14" s="79"/>
      <c r="W14" s="79"/>
      <c r="X14" s="72"/>
      <c r="Y14" s="73"/>
    </row>
    <row r="15" spans="1:25" ht="15.75" customHeight="1" thickBot="1" x14ac:dyDescent="0.3">
      <c r="A15" s="15" t="s">
        <v>15</v>
      </c>
      <c r="B15" s="16" t="s">
        <v>1</v>
      </c>
      <c r="C15" s="17" t="s">
        <v>2</v>
      </c>
      <c r="D15" s="16" t="s">
        <v>3</v>
      </c>
      <c r="E15" s="18" t="s">
        <v>20</v>
      </c>
      <c r="G15" s="27" t="s">
        <v>30</v>
      </c>
      <c r="H15" s="44">
        <f>SUM(E90:E99)</f>
        <v>0</v>
      </c>
      <c r="I15" s="42">
        <f>IF(AND(H15&gt;=0,H15&lt;=4),1,IF(AND(H15&gt;=5,H15&lt;=6),2,IF(H15=7,3,IF(AND(H15&gt;=8,H15&lt;=9),4,IF(H15=10,5,IF(AND(H15&gt;=11,H15&lt;=12),6,IF(AND(H15&gt;=13,H15&lt;=14),7,IF(H15=15,8,IF(H15=16,9,IF(AND(H15&gt;=14,H15&lt;=20),10,""))))))))))</f>
        <v>1</v>
      </c>
      <c r="K15" s="68" t="s">
        <v>43</v>
      </c>
      <c r="L15" s="69"/>
      <c r="M15" s="74" t="str">
        <f>IF($I$7=1,"X",".")</f>
        <v>X</v>
      </c>
      <c r="N15" s="74" t="str">
        <f>IF($I$7=2,"X",".")</f>
        <v>.</v>
      </c>
      <c r="O15" s="74" t="str">
        <f>IF($I$7=3,"X",".")</f>
        <v>.</v>
      </c>
      <c r="P15" s="74" t="str">
        <f>IF($I$7=4,"X",".")</f>
        <v>.</v>
      </c>
      <c r="Q15" s="74" t="str">
        <f>IF($I$7=5,"X",".")</f>
        <v>.</v>
      </c>
      <c r="R15" s="82" t="s">
        <v>22</v>
      </c>
      <c r="S15" s="79" t="str">
        <f>IF($I$7=6,"X",".")</f>
        <v>.</v>
      </c>
      <c r="T15" s="79" t="str">
        <f>IF($I$7=7,"X",".")</f>
        <v>.</v>
      </c>
      <c r="U15" s="79" t="str">
        <f>IF($I$7=8,"X",".")</f>
        <v>.</v>
      </c>
      <c r="V15" s="79" t="str">
        <f>IF($I$7=9,"X",".")</f>
        <v>.</v>
      </c>
      <c r="W15" s="79" t="str">
        <f>IF($I$7=10,"X",".")</f>
        <v>.</v>
      </c>
      <c r="X15" s="68" t="s">
        <v>59</v>
      </c>
      <c r="Y15" s="69"/>
    </row>
    <row r="16" spans="1:25" ht="15" customHeight="1" x14ac:dyDescent="0.25">
      <c r="A16" s="20">
        <v>4</v>
      </c>
      <c r="B16" s="21">
        <v>2</v>
      </c>
      <c r="C16" s="21">
        <v>1</v>
      </c>
      <c r="D16" s="22">
        <v>0</v>
      </c>
      <c r="E16" s="40">
        <f>CUESTIONARIO!I23</f>
        <v>0</v>
      </c>
      <c r="G16" s="27" t="s">
        <v>31</v>
      </c>
      <c r="H16" s="44">
        <f>SUM(E205:E215)</f>
        <v>0</v>
      </c>
      <c r="I16" s="42">
        <f>IF(AND(H16&gt;=0,H16&lt;=3),1,IF(AND(H16&gt;=4,H16&lt;=5),2,IF(AND(H16&gt;=6,H16&lt;=7),3,IF(H16=8,4,IF(AND(H16&gt;=9,H16&lt;=10),5,IF(AND(H16&gt;=11,H16&lt;=12),6,IF(H16=13,7,IF(AND(H16&gt;=14,H16&lt;=15),8,IF(AND(H16&gt;=16,H16&lt;=17),9,IF(AND(H16&gt;=18,H16&lt;=20),10,""))))))))))</f>
        <v>1</v>
      </c>
      <c r="K16" s="70"/>
      <c r="L16" s="71"/>
      <c r="M16" s="74"/>
      <c r="N16" s="74"/>
      <c r="O16" s="74"/>
      <c r="P16" s="74"/>
      <c r="Q16" s="74"/>
      <c r="R16" s="82"/>
      <c r="S16" s="79"/>
      <c r="T16" s="79"/>
      <c r="U16" s="79"/>
      <c r="V16" s="79"/>
      <c r="W16" s="79"/>
      <c r="X16" s="70"/>
      <c r="Y16" s="71"/>
    </row>
    <row r="17" spans="1:25" ht="15" customHeight="1" thickBot="1" x14ac:dyDescent="0.3">
      <c r="A17" s="24">
        <v>5</v>
      </c>
      <c r="B17" s="25">
        <v>0</v>
      </c>
      <c r="C17" s="25">
        <v>1</v>
      </c>
      <c r="D17" s="26">
        <v>2</v>
      </c>
      <c r="E17" s="44">
        <f>CUESTIONARIO!I27</f>
        <v>0</v>
      </c>
      <c r="G17" s="27" t="s">
        <v>32</v>
      </c>
      <c r="H17" s="44">
        <f>SUM(E103:E112)</f>
        <v>0</v>
      </c>
      <c r="I17" s="42">
        <f>IF(AND(H17&gt;=0,H17&lt;=5),1,IF(AND(H17&gt;=6,H17&lt;=8),2,IF(AND(H17&gt;=9,H17&lt;=10),3,IF(AND(H17&gt;=11,H17&lt;=12),4,IF(H17=13,5,IF(AND(H17&gt;=14,H17&lt;=15),6,IF(H17=16,7,IF(H17=17,8,IF(H17=18,9,IF(AND(H17&gt;=19,H17&lt;=20),10,""))))))))))</f>
        <v>1</v>
      </c>
      <c r="K17" s="72"/>
      <c r="L17" s="73"/>
      <c r="M17" s="74"/>
      <c r="N17" s="74"/>
      <c r="O17" s="74"/>
      <c r="P17" s="74"/>
      <c r="Q17" s="74"/>
      <c r="R17" s="82"/>
      <c r="S17" s="79"/>
      <c r="T17" s="79"/>
      <c r="U17" s="79"/>
      <c r="V17" s="79"/>
      <c r="W17" s="79"/>
      <c r="X17" s="72"/>
      <c r="Y17" s="73"/>
    </row>
    <row r="18" spans="1:25" ht="15.75" customHeight="1" thickBot="1" x14ac:dyDescent="0.3">
      <c r="A18" s="24">
        <v>29</v>
      </c>
      <c r="B18" s="25">
        <v>0</v>
      </c>
      <c r="C18" s="25">
        <v>1</v>
      </c>
      <c r="D18" s="26">
        <v>2</v>
      </c>
      <c r="E18" s="44">
        <f>CUESTIONARIO!I123</f>
        <v>0</v>
      </c>
      <c r="G18" s="33" t="s">
        <v>33</v>
      </c>
      <c r="H18" s="45">
        <f>SUM(E219:E232)</f>
        <v>0</v>
      </c>
      <c r="I18" s="43">
        <f>IF(AND(H18&gt;=0,H18&lt;=1),1,IF(H18=2,2,IF(H18=3,3,IF(AND(H18&gt;=4,H18&lt;=5),4,IF(AND(H18&gt;=4,H18&lt;=6),5,IF(AND(H18&gt;=8,H18&lt;=9),6,IF(AND(H18&gt;=10,H18&lt;=11),7,IF(AND(H18&gt;=12,H18&gt;=13),8,IF(AND(H18&gt;=14,H18&lt;=16),9,IF(AND(H18&gt;=17,H18&lt;=26),10,""))))))))))</f>
        <v>1</v>
      </c>
      <c r="K18" s="68" t="s">
        <v>44</v>
      </c>
      <c r="L18" s="69"/>
      <c r="M18" s="74" t="str">
        <f>IF($I$8=1,"X",".")</f>
        <v>X</v>
      </c>
      <c r="N18" s="74" t="str">
        <f>IF($I$8=2,"X",".")</f>
        <v>.</v>
      </c>
      <c r="O18" s="74" t="str">
        <f>IF($I$8=3,"X",".")</f>
        <v>.</v>
      </c>
      <c r="P18" s="74" t="str">
        <f>IF($I$8=4,"X",".")</f>
        <v>.</v>
      </c>
      <c r="Q18" s="74" t="str">
        <f>IF($I$8=5,"X",".")</f>
        <v>.</v>
      </c>
      <c r="R18" s="82" t="s">
        <v>23</v>
      </c>
      <c r="S18" s="79" t="str">
        <f>IF($I$8=6,"X",".")</f>
        <v>.</v>
      </c>
      <c r="T18" s="79" t="str">
        <f>IF($I$8=7,"X",".")</f>
        <v>.</v>
      </c>
      <c r="U18" s="79" t="str">
        <f>IF($I$8=8,"X",".")</f>
        <v>.</v>
      </c>
      <c r="V18" s="79" t="str">
        <f>IF($I$8=9,"X",".")</f>
        <v>.</v>
      </c>
      <c r="W18" s="79" t="str">
        <f>IF($I$8=10,"X",".")</f>
        <v>.</v>
      </c>
      <c r="X18" s="68" t="s">
        <v>60</v>
      </c>
      <c r="Y18" s="69"/>
    </row>
    <row r="19" spans="1:25" ht="15" customHeight="1" x14ac:dyDescent="0.25">
      <c r="A19" s="24">
        <v>30</v>
      </c>
      <c r="B19" s="25">
        <v>2</v>
      </c>
      <c r="C19" s="25">
        <v>1</v>
      </c>
      <c r="D19" s="26">
        <v>0</v>
      </c>
      <c r="E19" s="44">
        <f>CUESTIONARIO!I127</f>
        <v>0</v>
      </c>
      <c r="K19" s="70"/>
      <c r="L19" s="71"/>
      <c r="M19" s="74"/>
      <c r="N19" s="74"/>
      <c r="O19" s="74"/>
      <c r="P19" s="74"/>
      <c r="Q19" s="74"/>
      <c r="R19" s="82"/>
      <c r="S19" s="79"/>
      <c r="T19" s="79"/>
      <c r="U19" s="79"/>
      <c r="V19" s="79"/>
      <c r="W19" s="79"/>
      <c r="X19" s="70"/>
      <c r="Y19" s="71"/>
    </row>
    <row r="20" spans="1:25" ht="15" customHeight="1" thickBot="1" x14ac:dyDescent="0.3">
      <c r="A20" s="24">
        <v>55</v>
      </c>
      <c r="B20" s="25">
        <v>2</v>
      </c>
      <c r="C20" s="25">
        <v>1</v>
      </c>
      <c r="D20" s="26">
        <v>0</v>
      </c>
      <c r="E20" s="44">
        <f>CUESTIONARIO!I227</f>
        <v>0</v>
      </c>
      <c r="K20" s="72"/>
      <c r="L20" s="73"/>
      <c r="M20" s="74"/>
      <c r="N20" s="74"/>
      <c r="O20" s="74"/>
      <c r="P20" s="74"/>
      <c r="Q20" s="74"/>
      <c r="R20" s="82"/>
      <c r="S20" s="79"/>
      <c r="T20" s="79"/>
      <c r="U20" s="79"/>
      <c r="V20" s="79"/>
      <c r="W20" s="79"/>
      <c r="X20" s="72"/>
      <c r="Y20" s="73"/>
    </row>
    <row r="21" spans="1:25" ht="15" customHeight="1" x14ac:dyDescent="0.25">
      <c r="A21" s="24">
        <v>79</v>
      </c>
      <c r="B21" s="25">
        <v>0</v>
      </c>
      <c r="C21" s="25">
        <v>1</v>
      </c>
      <c r="D21" s="26">
        <v>2</v>
      </c>
      <c r="E21" s="44">
        <f>CUESTIONARIO!I323</f>
        <v>0</v>
      </c>
      <c r="K21" s="62" t="s">
        <v>45</v>
      </c>
      <c r="L21" s="63"/>
      <c r="M21" s="74" t="str">
        <f>IF($I$9=1,"X",".")</f>
        <v>X</v>
      </c>
      <c r="N21" s="74" t="str">
        <f>IF($I$9=2,"X",".")</f>
        <v>.</v>
      </c>
      <c r="O21" s="74" t="str">
        <f>IF($I$9=3,"X",".")</f>
        <v>.</v>
      </c>
      <c r="P21" s="74" t="str">
        <f>IF($I$9=4,"X",".")</f>
        <v>.</v>
      </c>
      <c r="Q21" s="74" t="str">
        <f>IF($I$9=5,"X",".")</f>
        <v>.</v>
      </c>
      <c r="R21" s="82" t="s">
        <v>24</v>
      </c>
      <c r="S21" s="79" t="str">
        <f>IF($I$9=6,"X",".")</f>
        <v>.</v>
      </c>
      <c r="T21" s="79" t="str">
        <f>IF($I$9=7,"X",".")</f>
        <v>.</v>
      </c>
      <c r="U21" s="79" t="str">
        <f>IF($I$9=8,"X",".")</f>
        <v>.</v>
      </c>
      <c r="V21" s="79" t="str">
        <f>IF($I$9=9,"X",".")</f>
        <v>.</v>
      </c>
      <c r="W21" s="79" t="str">
        <f>IF($I$9=10,"X",".")</f>
        <v>.</v>
      </c>
      <c r="X21" s="62" t="s">
        <v>61</v>
      </c>
      <c r="Y21" s="63"/>
    </row>
    <row r="22" spans="1:25" ht="15" customHeight="1" x14ac:dyDescent="0.25">
      <c r="A22" s="24">
        <v>80</v>
      </c>
      <c r="B22" s="25">
        <v>0</v>
      </c>
      <c r="C22" s="25">
        <v>1</v>
      </c>
      <c r="D22" s="26">
        <v>2</v>
      </c>
      <c r="E22" s="44">
        <f>CUESTIONARIO!I327</f>
        <v>0</v>
      </c>
      <c r="K22" s="64"/>
      <c r="L22" s="65"/>
      <c r="M22" s="74"/>
      <c r="N22" s="74"/>
      <c r="O22" s="74"/>
      <c r="P22" s="74"/>
      <c r="Q22" s="74"/>
      <c r="R22" s="82"/>
      <c r="S22" s="79"/>
      <c r="T22" s="79"/>
      <c r="U22" s="79"/>
      <c r="V22" s="79"/>
      <c r="W22" s="79"/>
      <c r="X22" s="64"/>
      <c r="Y22" s="65"/>
    </row>
    <row r="23" spans="1:25" ht="15" customHeight="1" thickBot="1" x14ac:dyDescent="0.3">
      <c r="A23" s="24">
        <v>104</v>
      </c>
      <c r="B23" s="25">
        <v>2</v>
      </c>
      <c r="C23" s="25">
        <v>1</v>
      </c>
      <c r="D23" s="26">
        <v>0</v>
      </c>
      <c r="E23" s="44">
        <f>CUESTIONARIO!I423</f>
        <v>0</v>
      </c>
      <c r="K23" s="66"/>
      <c r="L23" s="67"/>
      <c r="M23" s="74"/>
      <c r="N23" s="74"/>
      <c r="O23" s="74"/>
      <c r="P23" s="74"/>
      <c r="Q23" s="74"/>
      <c r="R23" s="82"/>
      <c r="S23" s="79"/>
      <c r="T23" s="79"/>
      <c r="U23" s="79"/>
      <c r="V23" s="79"/>
      <c r="W23" s="79"/>
      <c r="X23" s="66"/>
      <c r="Y23" s="67"/>
    </row>
    <row r="24" spans="1:25" ht="15" customHeight="1" x14ac:dyDescent="0.25">
      <c r="A24" s="24">
        <v>105</v>
      </c>
      <c r="B24" s="25">
        <v>2</v>
      </c>
      <c r="C24" s="25">
        <v>1</v>
      </c>
      <c r="D24" s="26">
        <v>0</v>
      </c>
      <c r="E24" s="44">
        <f>CUESTIONARIO!I427</f>
        <v>0</v>
      </c>
      <c r="K24" s="68" t="s">
        <v>46</v>
      </c>
      <c r="L24" s="69"/>
      <c r="M24" s="74" t="str">
        <f>IF($I$10=1,"X",".")</f>
        <v>X</v>
      </c>
      <c r="N24" s="74" t="str">
        <f>IF($I$10=2,"X",".")</f>
        <v>.</v>
      </c>
      <c r="O24" s="74" t="str">
        <f>IF($I$10=3,"X",".")</f>
        <v>.</v>
      </c>
      <c r="P24" s="74" t="str">
        <f>IF($I$10=4,"X",".")</f>
        <v>.</v>
      </c>
      <c r="Q24" s="74" t="str">
        <f>IF($I$10=5,"X",".")</f>
        <v>.</v>
      </c>
      <c r="R24" s="82" t="s">
        <v>25</v>
      </c>
      <c r="S24" s="79" t="str">
        <f>IF($I$10=6,"X",".")</f>
        <v>.</v>
      </c>
      <c r="T24" s="79" t="str">
        <f>IF($I$10=7,"X",".")</f>
        <v>.</v>
      </c>
      <c r="U24" s="79" t="str">
        <f>IF($I$10=8,"X",".")</f>
        <v>.</v>
      </c>
      <c r="V24" s="79" t="str">
        <f>IF($I$10=9,"X",".")</f>
        <v>.</v>
      </c>
      <c r="W24" s="79" t="str">
        <f>IF($I$10=10,"X",".")</f>
        <v>.</v>
      </c>
      <c r="X24" s="68" t="s">
        <v>62</v>
      </c>
      <c r="Y24" s="69"/>
    </row>
    <row r="25" spans="1:25" ht="15" customHeight="1" x14ac:dyDescent="0.25">
      <c r="A25" s="24">
        <v>129</v>
      </c>
      <c r="B25" s="25">
        <v>0</v>
      </c>
      <c r="C25" s="25">
        <v>1</v>
      </c>
      <c r="D25" s="26">
        <v>2</v>
      </c>
      <c r="E25" s="44">
        <f>CUESTIONARIO!I523</f>
        <v>0</v>
      </c>
      <c r="K25" s="70"/>
      <c r="L25" s="71"/>
      <c r="M25" s="74"/>
      <c r="N25" s="74"/>
      <c r="O25" s="74"/>
      <c r="P25" s="74"/>
      <c r="Q25" s="74"/>
      <c r="R25" s="82"/>
      <c r="S25" s="79"/>
      <c r="T25" s="79"/>
      <c r="U25" s="79"/>
      <c r="V25" s="79"/>
      <c r="W25" s="79"/>
      <c r="X25" s="70"/>
      <c r="Y25" s="71"/>
    </row>
    <row r="26" spans="1:25" ht="15" customHeight="1" thickBot="1" x14ac:dyDescent="0.3">
      <c r="A26" s="24">
        <v>130</v>
      </c>
      <c r="B26" s="25">
        <v>2</v>
      </c>
      <c r="C26" s="25">
        <v>1</v>
      </c>
      <c r="D26" s="26">
        <v>0</v>
      </c>
      <c r="E26" s="46">
        <f>CUESTIONARIO!I527</f>
        <v>0</v>
      </c>
      <c r="K26" s="72"/>
      <c r="L26" s="73"/>
      <c r="M26" s="74"/>
      <c r="N26" s="74"/>
      <c r="O26" s="74"/>
      <c r="P26" s="74"/>
      <c r="Q26" s="74"/>
      <c r="R26" s="82"/>
      <c r="S26" s="79"/>
      <c r="T26" s="79"/>
      <c r="U26" s="79"/>
      <c r="V26" s="79"/>
      <c r="W26" s="79"/>
      <c r="X26" s="72"/>
      <c r="Y26" s="73"/>
    </row>
    <row r="27" spans="1:25" ht="15" customHeight="1" x14ac:dyDescent="0.25">
      <c r="A27" s="24">
        <v>154</v>
      </c>
      <c r="B27" s="25">
        <v>0</v>
      </c>
      <c r="C27" s="25">
        <v>1</v>
      </c>
      <c r="D27" s="26">
        <v>2</v>
      </c>
      <c r="E27" s="44">
        <f>CUESTIONARIO!I623</f>
        <v>0</v>
      </c>
      <c r="K27" s="68" t="s">
        <v>47</v>
      </c>
      <c r="L27" s="69"/>
      <c r="M27" s="74" t="str">
        <f>IF($I$11=1,"X",".")</f>
        <v>X</v>
      </c>
      <c r="N27" s="74" t="str">
        <f>IF($I$11=2,"X",".")</f>
        <v>.</v>
      </c>
      <c r="O27" s="74" t="str">
        <f>IF($I$11=3,"X",".")</f>
        <v>.</v>
      </c>
      <c r="P27" s="74" t="str">
        <f>IF($I$11=4,"X",".")</f>
        <v>.</v>
      </c>
      <c r="Q27" s="74" t="str">
        <f>IF($I$11=5,"X",".")</f>
        <v>.</v>
      </c>
      <c r="R27" s="82" t="s">
        <v>26</v>
      </c>
      <c r="S27" s="79" t="str">
        <f>IF($I$11=6,"X",".")</f>
        <v>.</v>
      </c>
      <c r="T27" s="79" t="str">
        <f>IF($I$11=7,"X",".")</f>
        <v>.</v>
      </c>
      <c r="U27" s="79" t="str">
        <f>IF($I$11=8,"X",".")</f>
        <v>.</v>
      </c>
      <c r="V27" s="79" t="str">
        <f>IF($I$11=9,"X",".")</f>
        <v>.</v>
      </c>
      <c r="W27" s="79" t="str">
        <f>IF($I$11=10,"X",".")</f>
        <v>.</v>
      </c>
      <c r="X27" s="68" t="s">
        <v>63</v>
      </c>
      <c r="Y27" s="69"/>
    </row>
    <row r="28" spans="1:25" ht="15.75" customHeight="1" thickBot="1" x14ac:dyDescent="0.3">
      <c r="A28" s="28">
        <v>179</v>
      </c>
      <c r="B28" s="29">
        <v>2</v>
      </c>
      <c r="C28" s="29">
        <v>1</v>
      </c>
      <c r="D28" s="30">
        <v>0</v>
      </c>
      <c r="E28" s="45">
        <f>CUESTIONARIO!I723</f>
        <v>0</v>
      </c>
      <c r="K28" s="70"/>
      <c r="L28" s="71"/>
      <c r="M28" s="74"/>
      <c r="N28" s="74"/>
      <c r="O28" s="74"/>
      <c r="P28" s="74"/>
      <c r="Q28" s="74"/>
      <c r="R28" s="82"/>
      <c r="S28" s="79"/>
      <c r="T28" s="79"/>
      <c r="U28" s="79"/>
      <c r="V28" s="79"/>
      <c r="W28" s="79"/>
      <c r="X28" s="70"/>
      <c r="Y28" s="71"/>
    </row>
    <row r="29" spans="1:25" ht="15.75" customHeight="1" thickBot="1" x14ac:dyDescent="0.3">
      <c r="K29" s="72"/>
      <c r="L29" s="73"/>
      <c r="M29" s="74"/>
      <c r="N29" s="74"/>
      <c r="O29" s="74"/>
      <c r="P29" s="74"/>
      <c r="Q29" s="74"/>
      <c r="R29" s="82"/>
      <c r="S29" s="79"/>
      <c r="T29" s="79"/>
      <c r="U29" s="79"/>
      <c r="V29" s="79"/>
      <c r="W29" s="79"/>
      <c r="X29" s="72"/>
      <c r="Y29" s="73"/>
    </row>
    <row r="30" spans="1:25" ht="15.75" customHeight="1" thickBot="1" x14ac:dyDescent="0.3">
      <c r="A30" s="56" t="s">
        <v>5</v>
      </c>
      <c r="B30" s="57"/>
      <c r="C30" s="57"/>
      <c r="D30" s="57"/>
      <c r="E30" s="58"/>
      <c r="K30" s="68" t="s">
        <v>48</v>
      </c>
      <c r="L30" s="69"/>
      <c r="M30" s="74" t="str">
        <f>IF($I$12=1,"X",".")</f>
        <v>X</v>
      </c>
      <c r="N30" s="74" t="str">
        <f>IF($I$12=2,"X",".")</f>
        <v>.</v>
      </c>
      <c r="O30" s="74" t="str">
        <f>IF($I$12=3,"X",".")</f>
        <v>.</v>
      </c>
      <c r="P30" s="74" t="str">
        <f>IF($I$12=4,"X",".")</f>
        <v>.</v>
      </c>
      <c r="Q30" s="74" t="str">
        <f>IF($I$12=5,"X",".")</f>
        <v>.</v>
      </c>
      <c r="R30" s="82" t="s">
        <v>27</v>
      </c>
      <c r="S30" s="79" t="str">
        <f>IF($I$12=6,"X",".")</f>
        <v>.</v>
      </c>
      <c r="T30" s="79" t="str">
        <f>IF($I$12=7,"X",".")</f>
        <v>.</v>
      </c>
      <c r="U30" s="79" t="str">
        <f>IF($I$12=8,"X",".")</f>
        <v>.</v>
      </c>
      <c r="V30" s="79" t="str">
        <f>IF($I$12=9,"X",".")</f>
        <v>.</v>
      </c>
      <c r="W30" s="79" t="str">
        <f>IF($I$12=10,"X",".")</f>
        <v>.</v>
      </c>
      <c r="X30" s="68" t="s">
        <v>64</v>
      </c>
      <c r="Y30" s="69"/>
    </row>
    <row r="31" spans="1:25" ht="15.75" customHeight="1" thickBot="1" x14ac:dyDescent="0.3">
      <c r="A31" s="15" t="s">
        <v>15</v>
      </c>
      <c r="B31" s="16" t="s">
        <v>1</v>
      </c>
      <c r="C31" s="17" t="s">
        <v>2</v>
      </c>
      <c r="D31" s="16" t="s">
        <v>3</v>
      </c>
      <c r="E31" s="18" t="s">
        <v>20</v>
      </c>
      <c r="K31" s="70"/>
      <c r="L31" s="71"/>
      <c r="M31" s="74"/>
      <c r="N31" s="74"/>
      <c r="O31" s="74"/>
      <c r="P31" s="74"/>
      <c r="Q31" s="74"/>
      <c r="R31" s="82"/>
      <c r="S31" s="79"/>
      <c r="T31" s="79"/>
      <c r="U31" s="79"/>
      <c r="V31" s="79"/>
      <c r="W31" s="79"/>
      <c r="X31" s="70"/>
      <c r="Y31" s="71"/>
    </row>
    <row r="32" spans="1:25" ht="15" customHeight="1" thickBot="1" x14ac:dyDescent="0.3">
      <c r="A32" s="20">
        <v>8</v>
      </c>
      <c r="B32" s="21">
        <v>0</v>
      </c>
      <c r="C32" s="21">
        <v>1</v>
      </c>
      <c r="D32" s="22">
        <v>2</v>
      </c>
      <c r="E32" s="40">
        <f>CUESTIONARIO!I39</f>
        <v>0</v>
      </c>
      <c r="K32" s="72"/>
      <c r="L32" s="73"/>
      <c r="M32" s="74"/>
      <c r="N32" s="74"/>
      <c r="O32" s="74"/>
      <c r="P32" s="74"/>
      <c r="Q32" s="74"/>
      <c r="R32" s="82"/>
      <c r="S32" s="79"/>
      <c r="T32" s="79"/>
      <c r="U32" s="79"/>
      <c r="V32" s="79"/>
      <c r="W32" s="79"/>
      <c r="X32" s="72"/>
      <c r="Y32" s="73"/>
    </row>
    <row r="33" spans="1:25" ht="15" customHeight="1" x14ac:dyDescent="0.25">
      <c r="A33" s="24">
        <v>33</v>
      </c>
      <c r="B33" s="25">
        <v>2</v>
      </c>
      <c r="C33" s="25">
        <v>1</v>
      </c>
      <c r="D33" s="26">
        <v>0</v>
      </c>
      <c r="E33" s="44">
        <f>CUESTIONARIO!I139</f>
        <v>0</v>
      </c>
      <c r="K33" s="68" t="s">
        <v>49</v>
      </c>
      <c r="L33" s="69"/>
      <c r="M33" s="74" t="str">
        <f>IF($I$13=1,"X",".")</f>
        <v>X</v>
      </c>
      <c r="N33" s="74" t="str">
        <f>IF($I$13=2,"X",".")</f>
        <v>.</v>
      </c>
      <c r="O33" s="74" t="str">
        <f>IF($I$13=3,"X",".")</f>
        <v>.</v>
      </c>
      <c r="P33" s="74" t="str">
        <f>IF($I$13=4,"X",".")</f>
        <v>.</v>
      </c>
      <c r="Q33" s="74" t="str">
        <f>IF($I$13=5,"X",".")</f>
        <v>.</v>
      </c>
      <c r="R33" s="82" t="s">
        <v>28</v>
      </c>
      <c r="S33" s="79" t="str">
        <f>IF($I$13=6,"X",".")</f>
        <v>.</v>
      </c>
      <c r="T33" s="79" t="str">
        <f>IF($I$13=7,"X",".")</f>
        <v>.</v>
      </c>
      <c r="U33" s="79" t="str">
        <f>IF($I$13=8,"X",".")</f>
        <v>.</v>
      </c>
      <c r="V33" s="79" t="str">
        <f>IF($I$13=9,"X",".")</f>
        <v>.</v>
      </c>
      <c r="W33" s="79" t="str">
        <f>IF($I$13=10,"X",".")</f>
        <v>.</v>
      </c>
      <c r="X33" s="68" t="s">
        <v>65</v>
      </c>
      <c r="Y33" s="69"/>
    </row>
    <row r="34" spans="1:25" ht="15" customHeight="1" x14ac:dyDescent="0.25">
      <c r="A34" s="24">
        <v>58</v>
      </c>
      <c r="B34" s="25">
        <v>2</v>
      </c>
      <c r="C34" s="25">
        <v>1</v>
      </c>
      <c r="D34" s="26">
        <v>0</v>
      </c>
      <c r="E34" s="44">
        <f>CUESTIONARIO!I239</f>
        <v>0</v>
      </c>
      <c r="K34" s="70"/>
      <c r="L34" s="71"/>
      <c r="M34" s="74"/>
      <c r="N34" s="74"/>
      <c r="O34" s="74"/>
      <c r="P34" s="74"/>
      <c r="Q34" s="74"/>
      <c r="R34" s="82"/>
      <c r="S34" s="79"/>
      <c r="T34" s="79"/>
      <c r="U34" s="79"/>
      <c r="V34" s="79"/>
      <c r="W34" s="79"/>
      <c r="X34" s="70"/>
      <c r="Y34" s="71"/>
    </row>
    <row r="35" spans="1:25" ht="15" customHeight="1" thickBot="1" x14ac:dyDescent="0.3">
      <c r="A35" s="24">
        <v>82</v>
      </c>
      <c r="B35" s="25">
        <v>0</v>
      </c>
      <c r="C35" s="25">
        <v>1</v>
      </c>
      <c r="D35" s="26">
        <v>2</v>
      </c>
      <c r="E35" s="44">
        <f>CUESTIONARIO!I335</f>
        <v>0</v>
      </c>
      <c r="K35" s="72"/>
      <c r="L35" s="73"/>
      <c r="M35" s="74"/>
      <c r="N35" s="74"/>
      <c r="O35" s="74"/>
      <c r="P35" s="74"/>
      <c r="Q35" s="74"/>
      <c r="R35" s="82"/>
      <c r="S35" s="79"/>
      <c r="T35" s="79"/>
      <c r="U35" s="79"/>
      <c r="V35" s="79"/>
      <c r="W35" s="79"/>
      <c r="X35" s="72"/>
      <c r="Y35" s="73"/>
    </row>
    <row r="36" spans="1:25" ht="15" customHeight="1" x14ac:dyDescent="0.25">
      <c r="A36" s="24">
        <v>83</v>
      </c>
      <c r="B36" s="25">
        <v>2</v>
      </c>
      <c r="C36" s="25">
        <v>1</v>
      </c>
      <c r="D36" s="26">
        <v>0</v>
      </c>
      <c r="E36" s="44">
        <f>CUESTIONARIO!I339</f>
        <v>0</v>
      </c>
      <c r="K36" s="68" t="s">
        <v>50</v>
      </c>
      <c r="L36" s="69"/>
      <c r="M36" s="74" t="str">
        <f>IF($I$14=1,"X",".")</f>
        <v>X</v>
      </c>
      <c r="N36" s="74" t="str">
        <f>IF($I$14=2,"X",".")</f>
        <v>.</v>
      </c>
      <c r="O36" s="74" t="str">
        <f>IF($I$14=3,"X",".")</f>
        <v>.</v>
      </c>
      <c r="P36" s="74" t="str">
        <f>IF($I$14=4,"X",".")</f>
        <v>.</v>
      </c>
      <c r="Q36" s="74" t="str">
        <f>IF($I$14=5,"X",".")</f>
        <v>.</v>
      </c>
      <c r="R36" s="82" t="s">
        <v>29</v>
      </c>
      <c r="S36" s="79" t="str">
        <f>IF($I$14=6,"X",".")</f>
        <v>.</v>
      </c>
      <c r="T36" s="79" t="str">
        <f>IF($I$14=7,"X",".")</f>
        <v>.</v>
      </c>
      <c r="U36" s="79" t="str">
        <f>IF($I$14=8,"X",".")</f>
        <v>.</v>
      </c>
      <c r="V36" s="79" t="str">
        <f>IF($I$14=9,"X",".")</f>
        <v>.</v>
      </c>
      <c r="W36" s="79" t="str">
        <f>IF($I$14=10,"X",".")</f>
        <v>.</v>
      </c>
      <c r="X36" s="68" t="s">
        <v>66</v>
      </c>
      <c r="Y36" s="69"/>
    </row>
    <row r="37" spans="1:25" ht="15" customHeight="1" x14ac:dyDescent="0.25">
      <c r="A37" s="24">
        <v>107</v>
      </c>
      <c r="B37" s="25">
        <v>0</v>
      </c>
      <c r="C37" s="25">
        <v>1</v>
      </c>
      <c r="D37" s="26">
        <v>2</v>
      </c>
      <c r="E37" s="44">
        <f>CUESTIONARIO!I435</f>
        <v>0</v>
      </c>
      <c r="K37" s="70"/>
      <c r="L37" s="71"/>
      <c r="M37" s="74"/>
      <c r="N37" s="74"/>
      <c r="O37" s="74"/>
      <c r="P37" s="74"/>
      <c r="Q37" s="74"/>
      <c r="R37" s="82"/>
      <c r="S37" s="79"/>
      <c r="T37" s="79"/>
      <c r="U37" s="79"/>
      <c r="V37" s="79"/>
      <c r="W37" s="79"/>
      <c r="X37" s="70"/>
      <c r="Y37" s="71"/>
    </row>
    <row r="38" spans="1:25" ht="15" customHeight="1" thickBot="1" x14ac:dyDescent="0.3">
      <c r="A38" s="24">
        <v>108</v>
      </c>
      <c r="B38" s="25">
        <v>0</v>
      </c>
      <c r="C38" s="25">
        <v>1</v>
      </c>
      <c r="D38" s="26">
        <v>2</v>
      </c>
      <c r="E38" s="44">
        <f>CUESTIONARIO!I439</f>
        <v>0</v>
      </c>
      <c r="K38" s="72"/>
      <c r="L38" s="73"/>
      <c r="M38" s="74"/>
      <c r="N38" s="74"/>
      <c r="O38" s="74"/>
      <c r="P38" s="74"/>
      <c r="Q38" s="74"/>
      <c r="R38" s="82"/>
      <c r="S38" s="79"/>
      <c r="T38" s="79"/>
      <c r="U38" s="79"/>
      <c r="V38" s="79"/>
      <c r="W38" s="79"/>
      <c r="X38" s="72"/>
      <c r="Y38" s="73"/>
    </row>
    <row r="39" spans="1:25" ht="15" customHeight="1" x14ac:dyDescent="0.25">
      <c r="A39" s="24">
        <v>132</v>
      </c>
      <c r="B39" s="25">
        <v>2</v>
      </c>
      <c r="C39" s="25">
        <v>1</v>
      </c>
      <c r="D39" s="26">
        <v>0</v>
      </c>
      <c r="E39" s="44">
        <f>CUESTIONARIO!I535</f>
        <v>0</v>
      </c>
      <c r="K39" s="62" t="s">
        <v>51</v>
      </c>
      <c r="L39" s="63"/>
      <c r="M39" s="74" t="str">
        <f>IF($I$15=1,"X",".")</f>
        <v>X</v>
      </c>
      <c r="N39" s="74" t="str">
        <f>IF($I$15=2,"X",".")</f>
        <v>.</v>
      </c>
      <c r="O39" s="74" t="str">
        <f>IF($I$15=3,"X",".")</f>
        <v>.</v>
      </c>
      <c r="P39" s="74" t="str">
        <f>IF($I$15=4,"X",".")</f>
        <v>.</v>
      </c>
      <c r="Q39" s="74" t="str">
        <f>IF($I$15=5,"X",".")</f>
        <v>.</v>
      </c>
      <c r="R39" s="82" t="s">
        <v>30</v>
      </c>
      <c r="S39" s="79" t="str">
        <f>IF($I$15=6,"X",".")</f>
        <v>.</v>
      </c>
      <c r="T39" s="79" t="str">
        <f>IF($I$15=7,"X",".")</f>
        <v>.</v>
      </c>
      <c r="U39" s="79" t="str">
        <f>IF($I$15=8,"X",".")</f>
        <v>.</v>
      </c>
      <c r="V39" s="79" t="str">
        <f>IF($I$15=9,"X",".")</f>
        <v>.</v>
      </c>
      <c r="W39" s="79" t="str">
        <f>IF($I$15=10,"X",".")</f>
        <v>.</v>
      </c>
      <c r="X39" s="62" t="s">
        <v>67</v>
      </c>
      <c r="Y39" s="63"/>
    </row>
    <row r="40" spans="1:25" ht="15" customHeight="1" x14ac:dyDescent="0.25">
      <c r="A40" s="24">
        <v>133</v>
      </c>
      <c r="B40" s="25">
        <v>2</v>
      </c>
      <c r="C40" s="25">
        <v>1</v>
      </c>
      <c r="D40" s="26">
        <v>0</v>
      </c>
      <c r="E40" s="44">
        <f>CUESTIONARIO!I539</f>
        <v>0</v>
      </c>
      <c r="K40" s="64"/>
      <c r="L40" s="65"/>
      <c r="M40" s="74"/>
      <c r="N40" s="74"/>
      <c r="O40" s="74"/>
      <c r="P40" s="74"/>
      <c r="Q40" s="74"/>
      <c r="R40" s="82"/>
      <c r="S40" s="79"/>
      <c r="T40" s="79"/>
      <c r="U40" s="79"/>
      <c r="V40" s="79"/>
      <c r="W40" s="79"/>
      <c r="X40" s="64"/>
      <c r="Y40" s="65"/>
    </row>
    <row r="41" spans="1:25" ht="15" customHeight="1" thickBot="1" x14ac:dyDescent="0.3">
      <c r="A41" s="24">
        <v>157</v>
      </c>
      <c r="B41" s="25">
        <v>0</v>
      </c>
      <c r="C41" s="25">
        <v>1</v>
      </c>
      <c r="D41" s="26">
        <v>2</v>
      </c>
      <c r="E41" s="44">
        <f>CUESTIONARIO!I635</f>
        <v>0</v>
      </c>
      <c r="K41" s="66"/>
      <c r="L41" s="67"/>
      <c r="M41" s="74"/>
      <c r="N41" s="74"/>
      <c r="O41" s="74"/>
      <c r="P41" s="74"/>
      <c r="Q41" s="74"/>
      <c r="R41" s="82"/>
      <c r="S41" s="79"/>
      <c r="T41" s="79"/>
      <c r="U41" s="79"/>
      <c r="V41" s="79"/>
      <c r="W41" s="79"/>
      <c r="X41" s="66"/>
      <c r="Y41" s="67"/>
    </row>
    <row r="42" spans="1:25" ht="15" customHeight="1" x14ac:dyDescent="0.25">
      <c r="A42" s="24">
        <v>158</v>
      </c>
      <c r="B42" s="25">
        <v>0</v>
      </c>
      <c r="C42" s="25">
        <v>1</v>
      </c>
      <c r="D42" s="26">
        <v>2</v>
      </c>
      <c r="E42" s="44">
        <f>CUESTIONARIO!I639</f>
        <v>0</v>
      </c>
      <c r="K42" s="62" t="s">
        <v>52</v>
      </c>
      <c r="L42" s="63"/>
      <c r="M42" s="74" t="str">
        <f>IF($I$16=1,"X",".")</f>
        <v>X</v>
      </c>
      <c r="N42" s="74" t="str">
        <f>IF($I$16=2,"X",".")</f>
        <v>.</v>
      </c>
      <c r="O42" s="74" t="str">
        <f>IF($I$16=3,"X",".")</f>
        <v>.</v>
      </c>
      <c r="P42" s="74" t="str">
        <f>IF($I$16=4,"X",".")</f>
        <v>.</v>
      </c>
      <c r="Q42" s="74" t="str">
        <f>IF($I$16=5,"X",".")</f>
        <v>.</v>
      </c>
      <c r="R42" s="82" t="s">
        <v>31</v>
      </c>
      <c r="S42" s="79" t="str">
        <f>IF($I$16=6,"X",".")</f>
        <v>.</v>
      </c>
      <c r="T42" s="79" t="str">
        <f>IF($I$16=7,"X",".")</f>
        <v>.</v>
      </c>
      <c r="U42" s="79" t="str">
        <f>IF($I$16=8,"X",".")</f>
        <v>.</v>
      </c>
      <c r="V42" s="79" t="str">
        <f>IF($I$16=9,"X",".")</f>
        <v>.</v>
      </c>
      <c r="W42" s="79" t="str">
        <f>IF($I$16=10,"X",".")</f>
        <v>.</v>
      </c>
      <c r="X42" s="62" t="s">
        <v>68</v>
      </c>
      <c r="Y42" s="63"/>
    </row>
    <row r="43" spans="1:25" ht="15" customHeight="1" x14ac:dyDescent="0.25">
      <c r="A43" s="24">
        <v>183</v>
      </c>
      <c r="B43" s="25">
        <v>2</v>
      </c>
      <c r="C43" s="25">
        <v>1</v>
      </c>
      <c r="D43" s="26">
        <v>0</v>
      </c>
      <c r="E43" s="44">
        <f>CUESTIONARIO!I739</f>
        <v>0</v>
      </c>
      <c r="K43" s="64"/>
      <c r="L43" s="65"/>
      <c r="M43" s="74"/>
      <c r="N43" s="74"/>
      <c r="O43" s="74"/>
      <c r="P43" s="74"/>
      <c r="Q43" s="74"/>
      <c r="R43" s="82"/>
      <c r="S43" s="79"/>
      <c r="T43" s="79"/>
      <c r="U43" s="79"/>
      <c r="V43" s="79"/>
      <c r="W43" s="79"/>
      <c r="X43" s="64"/>
      <c r="Y43" s="65"/>
    </row>
    <row r="44" spans="1:25" ht="15.75" customHeight="1" thickBot="1" x14ac:dyDescent="0.3">
      <c r="A44" s="28">
        <v>182</v>
      </c>
      <c r="B44" s="29">
        <v>2</v>
      </c>
      <c r="C44" s="29">
        <v>1</v>
      </c>
      <c r="D44" s="30">
        <v>0</v>
      </c>
      <c r="E44" s="45">
        <f>CUESTIONARIO!I735</f>
        <v>0</v>
      </c>
      <c r="K44" s="66"/>
      <c r="L44" s="67"/>
      <c r="M44" s="74"/>
      <c r="N44" s="74"/>
      <c r="O44" s="74"/>
      <c r="P44" s="74"/>
      <c r="Q44" s="74"/>
      <c r="R44" s="82"/>
      <c r="S44" s="79"/>
      <c r="T44" s="79"/>
      <c r="U44" s="79"/>
      <c r="V44" s="79"/>
      <c r="W44" s="79"/>
      <c r="X44" s="66"/>
      <c r="Y44" s="67"/>
    </row>
    <row r="45" spans="1:25" ht="15.75" customHeight="1" thickBot="1" x14ac:dyDescent="0.3">
      <c r="K45" s="62" t="s">
        <v>53</v>
      </c>
      <c r="L45" s="63"/>
      <c r="M45" s="74" t="str">
        <f>IF($I$17=1,"X",".")</f>
        <v>X</v>
      </c>
      <c r="N45" s="74" t="str">
        <f>IF($I$17=2,"X",".")</f>
        <v>.</v>
      </c>
      <c r="O45" s="74" t="str">
        <f>IF($I$17=3,"X",".")</f>
        <v>.</v>
      </c>
      <c r="P45" s="74" t="str">
        <f>IF($I$17=4,"X",".")</f>
        <v>.</v>
      </c>
      <c r="Q45" s="74" t="str">
        <f>IF($I$17=5,"X",".")</f>
        <v>.</v>
      </c>
      <c r="R45" s="82" t="s">
        <v>32</v>
      </c>
      <c r="S45" s="79" t="str">
        <f>IF($I$17=6,"X",".")</f>
        <v>.</v>
      </c>
      <c r="T45" s="79" t="str">
        <f>IF($I$17=7,"X",".")</f>
        <v>.</v>
      </c>
      <c r="U45" s="79" t="str">
        <f>IF($I$17=8,"X",".")</f>
        <v>.</v>
      </c>
      <c r="V45" s="79" t="str">
        <f>IF($I$17=9,"X",".")</f>
        <v>.</v>
      </c>
      <c r="W45" s="79" t="str">
        <f>IF($I$17=10,"X",".")</f>
        <v>.</v>
      </c>
      <c r="X45" s="62" t="s">
        <v>69</v>
      </c>
      <c r="Y45" s="63"/>
    </row>
    <row r="46" spans="1:25" ht="15.75" customHeight="1" thickBot="1" x14ac:dyDescent="0.3">
      <c r="A46" s="56" t="s">
        <v>6</v>
      </c>
      <c r="B46" s="57"/>
      <c r="C46" s="57"/>
      <c r="D46" s="57"/>
      <c r="E46" s="58"/>
      <c r="K46" s="64"/>
      <c r="L46" s="65"/>
      <c r="M46" s="74"/>
      <c r="N46" s="74"/>
      <c r="O46" s="74"/>
      <c r="P46" s="74"/>
      <c r="Q46" s="74"/>
      <c r="R46" s="82"/>
      <c r="S46" s="79"/>
      <c r="T46" s="79"/>
      <c r="U46" s="79"/>
      <c r="V46" s="79"/>
      <c r="W46" s="79"/>
      <c r="X46" s="64"/>
      <c r="Y46" s="65"/>
    </row>
    <row r="47" spans="1:25" ht="15.75" customHeight="1" thickBot="1" x14ac:dyDescent="0.3">
      <c r="A47" s="15" t="s">
        <v>15</v>
      </c>
      <c r="B47" s="16" t="s">
        <v>1</v>
      </c>
      <c r="C47" s="17" t="s">
        <v>2</v>
      </c>
      <c r="D47" s="16" t="s">
        <v>3</v>
      </c>
      <c r="E47" s="18" t="s">
        <v>20</v>
      </c>
      <c r="K47" s="66"/>
      <c r="L47" s="67"/>
      <c r="M47" s="74"/>
      <c r="N47" s="74"/>
      <c r="O47" s="74"/>
      <c r="P47" s="74"/>
      <c r="Q47" s="74"/>
      <c r="R47" s="82"/>
      <c r="S47" s="79"/>
      <c r="T47" s="79"/>
      <c r="U47" s="79"/>
      <c r="V47" s="79"/>
      <c r="W47" s="79"/>
      <c r="X47" s="66"/>
      <c r="Y47" s="67"/>
    </row>
    <row r="48" spans="1:25" ht="15" customHeight="1" x14ac:dyDescent="0.25">
      <c r="A48" s="20">
        <v>10</v>
      </c>
      <c r="B48" s="21">
        <v>2</v>
      </c>
      <c r="C48" s="21">
        <v>1</v>
      </c>
      <c r="D48" s="22">
        <v>0</v>
      </c>
      <c r="E48" s="40">
        <f>CUESTIONARIO!I47</f>
        <v>0</v>
      </c>
      <c r="K48" s="62" t="s">
        <v>54</v>
      </c>
      <c r="L48" s="63"/>
      <c r="M48" s="77" t="str">
        <f>IF($I$18=1,"X",".")</f>
        <v>X</v>
      </c>
      <c r="N48" s="75" t="str">
        <f>IF($I$18=2,"X",".")</f>
        <v>.</v>
      </c>
      <c r="O48" s="75" t="str">
        <f>IF($I$18=3,"X",".")</f>
        <v>.</v>
      </c>
      <c r="P48" s="75" t="str">
        <f>IF($I$18=4,"X",".")</f>
        <v>.</v>
      </c>
      <c r="Q48" s="75" t="str">
        <f>IF($I$18=5,"X",".")</f>
        <v>.</v>
      </c>
      <c r="R48" s="82" t="s">
        <v>33</v>
      </c>
      <c r="S48" s="80" t="str">
        <f>IF($I$18=6,"X",".")</f>
        <v>.</v>
      </c>
      <c r="T48" s="80" t="str">
        <f>IF($I$18=7,"X",".")</f>
        <v>.</v>
      </c>
      <c r="U48" s="80" t="str">
        <f>IF($I$18=8,"X",".")</f>
        <v>.</v>
      </c>
      <c r="V48" s="80" t="str">
        <f>IF($I$18=9,"X",".")</f>
        <v>.</v>
      </c>
      <c r="W48" s="95" t="str">
        <f>IF($I$18=10,"X",".")</f>
        <v>.</v>
      </c>
      <c r="X48" s="62" t="s">
        <v>70</v>
      </c>
      <c r="Y48" s="63"/>
    </row>
    <row r="49" spans="1:25" ht="15.75" customHeight="1" x14ac:dyDescent="0.25">
      <c r="A49" s="24">
        <v>35</v>
      </c>
      <c r="B49" s="25">
        <v>0</v>
      </c>
      <c r="C49" s="25">
        <v>1</v>
      </c>
      <c r="D49" s="26">
        <v>2</v>
      </c>
      <c r="E49" s="44">
        <f>CUESTIONARIO!I147</f>
        <v>0</v>
      </c>
      <c r="K49" s="64"/>
      <c r="L49" s="65"/>
      <c r="M49" s="77"/>
      <c r="N49" s="75"/>
      <c r="O49" s="75"/>
      <c r="P49" s="75"/>
      <c r="Q49" s="75"/>
      <c r="R49" s="82"/>
      <c r="S49" s="80"/>
      <c r="T49" s="80"/>
      <c r="U49" s="80"/>
      <c r="V49" s="80"/>
      <c r="W49" s="95"/>
      <c r="X49" s="64"/>
      <c r="Y49" s="65"/>
    </row>
    <row r="50" spans="1:25" ht="15.75" thickBot="1" x14ac:dyDescent="0.3">
      <c r="A50" s="24">
        <v>36</v>
      </c>
      <c r="B50" s="25">
        <v>2</v>
      </c>
      <c r="C50" s="25">
        <v>1</v>
      </c>
      <c r="D50" s="26">
        <v>0</v>
      </c>
      <c r="E50" s="44">
        <f>CUESTIONARIO!I151</f>
        <v>0</v>
      </c>
      <c r="K50" s="66"/>
      <c r="L50" s="67"/>
      <c r="M50" s="78"/>
      <c r="N50" s="76"/>
      <c r="O50" s="76"/>
      <c r="P50" s="76"/>
      <c r="Q50" s="76"/>
      <c r="R50" s="94"/>
      <c r="S50" s="81"/>
      <c r="T50" s="81"/>
      <c r="U50" s="81"/>
      <c r="V50" s="81"/>
      <c r="W50" s="96"/>
      <c r="X50" s="66"/>
      <c r="Y50" s="67"/>
    </row>
    <row r="51" spans="1:25" x14ac:dyDescent="0.25">
      <c r="A51" s="24">
        <v>60</v>
      </c>
      <c r="B51" s="25">
        <v>0</v>
      </c>
      <c r="C51" s="25">
        <v>1</v>
      </c>
      <c r="D51" s="26">
        <v>2</v>
      </c>
      <c r="E51" s="44">
        <f>CUESTIONARIO!I247</f>
        <v>0</v>
      </c>
      <c r="M51" s="93">
        <v>1</v>
      </c>
      <c r="N51" s="93">
        <v>2</v>
      </c>
      <c r="O51" s="93">
        <v>3</v>
      </c>
      <c r="P51" s="93">
        <v>4</v>
      </c>
      <c r="Q51" s="93">
        <v>5</v>
      </c>
      <c r="R51" s="93"/>
      <c r="S51" s="93">
        <v>6</v>
      </c>
      <c r="T51" s="93">
        <v>7</v>
      </c>
      <c r="U51" s="93">
        <v>8</v>
      </c>
      <c r="V51" s="93">
        <v>9</v>
      </c>
      <c r="W51" s="93">
        <v>10</v>
      </c>
    </row>
    <row r="52" spans="1:25" x14ac:dyDescent="0.25">
      <c r="A52" s="24">
        <v>61</v>
      </c>
      <c r="B52" s="25">
        <v>0</v>
      </c>
      <c r="C52" s="25">
        <v>1</v>
      </c>
      <c r="D52" s="26">
        <v>2</v>
      </c>
      <c r="E52" s="44">
        <f>CUESTIONARIO!I251</f>
        <v>0</v>
      </c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5" x14ac:dyDescent="0.25">
      <c r="A53" s="24">
        <v>85</v>
      </c>
      <c r="B53" s="25">
        <v>0</v>
      </c>
      <c r="C53" s="25">
        <v>1</v>
      </c>
      <c r="D53" s="26">
        <v>2</v>
      </c>
      <c r="E53" s="44">
        <f>CUESTIONARIO!I347</f>
        <v>0</v>
      </c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5" x14ac:dyDescent="0.25">
      <c r="A54" s="24">
        <v>86</v>
      </c>
      <c r="B54" s="25">
        <v>0</v>
      </c>
      <c r="C54" s="25">
        <v>1</v>
      </c>
      <c r="D54" s="26">
        <v>2</v>
      </c>
      <c r="E54" s="44">
        <f>CUESTIONARIO!I351</f>
        <v>0</v>
      </c>
      <c r="M54" s="37">
        <v>2.3E-2</v>
      </c>
      <c r="N54" s="37">
        <v>4.3999999999999997E-2</v>
      </c>
      <c r="O54" s="37">
        <v>9.1999999999999998E-2</v>
      </c>
      <c r="P54" s="38">
        <v>0.15</v>
      </c>
      <c r="Q54" s="37">
        <v>0.191</v>
      </c>
      <c r="S54" s="37">
        <v>0.191</v>
      </c>
      <c r="T54" s="38">
        <v>0.15</v>
      </c>
      <c r="U54" s="37">
        <v>9.1999999999999998E-2</v>
      </c>
      <c r="V54" s="37">
        <v>4.3999999999999997E-2</v>
      </c>
      <c r="W54" s="37">
        <v>2.3E-2</v>
      </c>
    </row>
    <row r="55" spans="1:25" x14ac:dyDescent="0.25">
      <c r="A55" s="24">
        <v>110</v>
      </c>
      <c r="B55" s="25">
        <v>2</v>
      </c>
      <c r="C55" s="25">
        <v>1</v>
      </c>
      <c r="D55" s="26">
        <v>0</v>
      </c>
      <c r="E55" s="44">
        <f>CUESTIONARIO!I447</f>
        <v>0</v>
      </c>
    </row>
    <row r="56" spans="1:25" x14ac:dyDescent="0.25">
      <c r="A56" s="24">
        <v>111</v>
      </c>
      <c r="B56" s="25">
        <v>2</v>
      </c>
      <c r="C56" s="25">
        <v>1</v>
      </c>
      <c r="D56" s="26">
        <v>0</v>
      </c>
      <c r="E56" s="44">
        <f>CUESTIONARIO!I451</f>
        <v>0</v>
      </c>
    </row>
    <row r="57" spans="1:25" x14ac:dyDescent="0.25">
      <c r="A57" s="24">
        <v>135</v>
      </c>
      <c r="B57" s="25">
        <v>2</v>
      </c>
      <c r="C57" s="25">
        <v>1</v>
      </c>
      <c r="D57" s="26">
        <v>0</v>
      </c>
      <c r="E57" s="44">
        <f>CUESTIONARIO!I547</f>
        <v>0</v>
      </c>
    </row>
    <row r="58" spans="1:25" x14ac:dyDescent="0.25">
      <c r="A58" s="24">
        <v>136</v>
      </c>
      <c r="B58" s="25">
        <v>2</v>
      </c>
      <c r="C58" s="25">
        <v>1</v>
      </c>
      <c r="D58" s="26">
        <v>0</v>
      </c>
      <c r="E58" s="44">
        <f>CUESTIONARIO!I551</f>
        <v>0</v>
      </c>
    </row>
    <row r="59" spans="1:25" x14ac:dyDescent="0.25">
      <c r="A59" s="24">
        <v>161</v>
      </c>
      <c r="B59" s="25">
        <v>0</v>
      </c>
      <c r="C59" s="25">
        <v>1</v>
      </c>
      <c r="D59" s="26">
        <v>2</v>
      </c>
      <c r="E59" s="44">
        <f>CUESTIONARIO!I651</f>
        <v>0</v>
      </c>
    </row>
    <row r="60" spans="1:25" ht="15.75" thickBot="1" x14ac:dyDescent="0.3">
      <c r="A60" s="28">
        <v>186</v>
      </c>
      <c r="B60" s="29">
        <v>2</v>
      </c>
      <c r="C60" s="29">
        <v>1</v>
      </c>
      <c r="D60" s="30">
        <v>0</v>
      </c>
      <c r="E60" s="45">
        <f>CUESTIONARIO!I751</f>
        <v>0</v>
      </c>
    </row>
    <row r="61" spans="1:25" ht="15.75" thickBot="1" x14ac:dyDescent="0.3"/>
    <row r="62" spans="1:25" ht="15.75" thickBot="1" x14ac:dyDescent="0.3">
      <c r="A62" s="56" t="s">
        <v>7</v>
      </c>
      <c r="B62" s="57"/>
      <c r="C62" s="57"/>
      <c r="D62" s="57"/>
      <c r="E62" s="58"/>
    </row>
    <row r="63" spans="1:25" ht="15.75" thickBot="1" x14ac:dyDescent="0.3">
      <c r="A63" s="15" t="s">
        <v>15</v>
      </c>
      <c r="B63" s="16" t="s">
        <v>1</v>
      </c>
      <c r="C63" s="17" t="s">
        <v>2</v>
      </c>
      <c r="D63" s="16" t="s">
        <v>3</v>
      </c>
      <c r="E63" s="18" t="s">
        <v>20</v>
      </c>
    </row>
    <row r="64" spans="1:25" x14ac:dyDescent="0.25">
      <c r="A64" s="20">
        <v>13</v>
      </c>
      <c r="B64" s="21">
        <v>0</v>
      </c>
      <c r="C64" s="21">
        <v>1</v>
      </c>
      <c r="D64" s="22">
        <v>2</v>
      </c>
      <c r="E64" s="40">
        <f>CUESTIONARIO!I59</f>
        <v>0</v>
      </c>
    </row>
    <row r="65" spans="1:5" x14ac:dyDescent="0.25">
      <c r="A65" s="24">
        <v>38</v>
      </c>
      <c r="B65" s="25">
        <v>2</v>
      </c>
      <c r="C65" s="25">
        <v>1</v>
      </c>
      <c r="D65" s="26">
        <v>0</v>
      </c>
      <c r="E65" s="44">
        <f>CUESTIONARIO!I159</f>
        <v>0</v>
      </c>
    </row>
    <row r="66" spans="1:5" x14ac:dyDescent="0.25">
      <c r="A66" s="24">
        <v>63</v>
      </c>
      <c r="B66" s="25">
        <v>0</v>
      </c>
      <c r="C66" s="25">
        <v>1</v>
      </c>
      <c r="D66" s="26">
        <v>2</v>
      </c>
      <c r="E66" s="44">
        <f>CUESTIONARIO!I259</f>
        <v>0</v>
      </c>
    </row>
    <row r="67" spans="1:5" x14ac:dyDescent="0.25">
      <c r="A67" s="24">
        <v>64</v>
      </c>
      <c r="B67" s="25">
        <v>0</v>
      </c>
      <c r="C67" s="25">
        <v>1</v>
      </c>
      <c r="D67" s="26">
        <v>2</v>
      </c>
      <c r="E67" s="44">
        <f>CUESTIONARIO!I263</f>
        <v>0</v>
      </c>
    </row>
    <row r="68" spans="1:5" x14ac:dyDescent="0.25">
      <c r="A68" s="24">
        <v>88</v>
      </c>
      <c r="B68" s="25">
        <v>2</v>
      </c>
      <c r="C68" s="25">
        <v>1</v>
      </c>
      <c r="D68" s="26">
        <v>0</v>
      </c>
      <c r="E68" s="44">
        <f>CUESTIONARIO!I359</f>
        <v>0</v>
      </c>
    </row>
    <row r="69" spans="1:5" x14ac:dyDescent="0.25">
      <c r="A69" s="24">
        <v>89</v>
      </c>
      <c r="B69" s="25">
        <v>0</v>
      </c>
      <c r="C69" s="25">
        <v>1</v>
      </c>
      <c r="D69" s="26">
        <v>2</v>
      </c>
      <c r="E69" s="44">
        <f>CUESTIONARIO!I363</f>
        <v>0</v>
      </c>
    </row>
    <row r="70" spans="1:5" x14ac:dyDescent="0.25">
      <c r="A70" s="24">
        <v>113</v>
      </c>
      <c r="B70" s="25">
        <v>2</v>
      </c>
      <c r="C70" s="25">
        <v>1</v>
      </c>
      <c r="D70" s="26">
        <v>0</v>
      </c>
      <c r="E70" s="44">
        <f>CUESTIONARIO!I459</f>
        <v>0</v>
      </c>
    </row>
    <row r="71" spans="1:5" x14ac:dyDescent="0.25">
      <c r="A71" s="24">
        <v>114</v>
      </c>
      <c r="B71" s="25">
        <v>2</v>
      </c>
      <c r="C71" s="25">
        <v>1</v>
      </c>
      <c r="D71" s="26">
        <v>0</v>
      </c>
      <c r="E71" s="44">
        <f>CUESTIONARIO!I463</f>
        <v>0</v>
      </c>
    </row>
    <row r="72" spans="1:5" x14ac:dyDescent="0.25">
      <c r="A72" s="24">
        <v>139</v>
      </c>
      <c r="B72" s="25">
        <v>0</v>
      </c>
      <c r="C72" s="25">
        <v>1</v>
      </c>
      <c r="D72" s="26">
        <v>2</v>
      </c>
      <c r="E72" s="44">
        <f>CUESTIONARIO!I563</f>
        <v>0</v>
      </c>
    </row>
    <row r="73" spans="1:5" ht="15.75" thickBot="1" x14ac:dyDescent="0.3">
      <c r="A73" s="28">
        <v>164</v>
      </c>
      <c r="B73" s="29">
        <v>2</v>
      </c>
      <c r="C73" s="29">
        <v>1</v>
      </c>
      <c r="D73" s="30">
        <v>0</v>
      </c>
      <c r="E73" s="45">
        <f>CUESTIONARIO!I663</f>
        <v>0</v>
      </c>
    </row>
    <row r="74" spans="1:5" ht="15.75" thickBot="1" x14ac:dyDescent="0.3"/>
    <row r="75" spans="1:5" ht="15.75" thickBot="1" x14ac:dyDescent="0.3">
      <c r="A75" s="56" t="s">
        <v>8</v>
      </c>
      <c r="B75" s="57"/>
      <c r="C75" s="57"/>
      <c r="D75" s="57"/>
      <c r="E75" s="58"/>
    </row>
    <row r="76" spans="1:5" ht="15.75" thickBot="1" x14ac:dyDescent="0.3">
      <c r="A76" s="15" t="s">
        <v>15</v>
      </c>
      <c r="B76" s="16" t="s">
        <v>1</v>
      </c>
      <c r="C76" s="17" t="s">
        <v>2</v>
      </c>
      <c r="D76" s="16" t="s">
        <v>3</v>
      </c>
      <c r="E76" s="18" t="s">
        <v>20</v>
      </c>
    </row>
    <row r="77" spans="1:5" x14ac:dyDescent="0.25">
      <c r="A77" s="20">
        <v>16</v>
      </c>
      <c r="B77" s="21">
        <v>0</v>
      </c>
      <c r="C77" s="21">
        <v>1</v>
      </c>
      <c r="D77" s="22">
        <v>2</v>
      </c>
      <c r="E77" s="40">
        <f>CUESTIONARIO!I71</f>
        <v>0</v>
      </c>
    </row>
    <row r="78" spans="1:5" x14ac:dyDescent="0.25">
      <c r="A78" s="24">
        <v>17</v>
      </c>
      <c r="B78" s="25">
        <v>2</v>
      </c>
      <c r="C78" s="25">
        <v>1</v>
      </c>
      <c r="D78" s="26">
        <v>0</v>
      </c>
      <c r="E78" s="44">
        <f>CUESTIONARIO!I75</f>
        <v>0</v>
      </c>
    </row>
    <row r="79" spans="1:5" x14ac:dyDescent="0.25">
      <c r="A79" s="24">
        <v>41</v>
      </c>
      <c r="B79" s="25">
        <v>0</v>
      </c>
      <c r="C79" s="25">
        <v>1</v>
      </c>
      <c r="D79" s="26">
        <v>2</v>
      </c>
      <c r="E79" s="44">
        <f>CUESTIONARIO!I171</f>
        <v>0</v>
      </c>
    </row>
    <row r="80" spans="1:5" x14ac:dyDescent="0.25">
      <c r="A80" s="24">
        <v>42</v>
      </c>
      <c r="B80" s="25">
        <v>2</v>
      </c>
      <c r="C80" s="25">
        <v>1</v>
      </c>
      <c r="D80" s="26">
        <v>0</v>
      </c>
      <c r="E80" s="44">
        <f>CUESTIONARIO!I175</f>
        <v>0</v>
      </c>
    </row>
    <row r="81" spans="1:5" x14ac:dyDescent="0.25">
      <c r="A81" s="24">
        <v>66</v>
      </c>
      <c r="B81" s="25">
        <v>0</v>
      </c>
      <c r="C81" s="25">
        <v>1</v>
      </c>
      <c r="D81" s="26">
        <v>2</v>
      </c>
      <c r="E81" s="44">
        <f>CUESTIONARIO!I271</f>
        <v>0</v>
      </c>
    </row>
    <row r="82" spans="1:5" x14ac:dyDescent="0.25">
      <c r="A82" s="24">
        <v>67</v>
      </c>
      <c r="B82" s="25">
        <v>0</v>
      </c>
      <c r="C82" s="25">
        <v>1</v>
      </c>
      <c r="D82" s="26">
        <v>2</v>
      </c>
      <c r="E82" s="44">
        <f>CUESTIONARIO!I275</f>
        <v>0</v>
      </c>
    </row>
    <row r="83" spans="1:5" x14ac:dyDescent="0.25">
      <c r="A83" s="24">
        <v>92</v>
      </c>
      <c r="B83" s="25">
        <v>0</v>
      </c>
      <c r="C83" s="25">
        <v>1</v>
      </c>
      <c r="D83" s="26">
        <v>2</v>
      </c>
      <c r="E83" s="44">
        <f>CUESTIONARIO!I375</f>
        <v>0</v>
      </c>
    </row>
    <row r="84" spans="1:5" x14ac:dyDescent="0.25">
      <c r="A84" s="24">
        <v>117</v>
      </c>
      <c r="B84" s="25">
        <v>2</v>
      </c>
      <c r="C84" s="25">
        <v>1</v>
      </c>
      <c r="D84" s="26">
        <v>0</v>
      </c>
      <c r="E84" s="44">
        <f>CUESTIONARIO!I475</f>
        <v>0</v>
      </c>
    </row>
    <row r="85" spans="1:5" x14ac:dyDescent="0.25">
      <c r="A85" s="24">
        <v>142</v>
      </c>
      <c r="B85" s="25">
        <v>2</v>
      </c>
      <c r="C85" s="25">
        <v>1</v>
      </c>
      <c r="D85" s="26">
        <v>0</v>
      </c>
      <c r="E85" s="44">
        <f>CUESTIONARIO!I575</f>
        <v>0</v>
      </c>
    </row>
    <row r="86" spans="1:5" ht="15.75" thickBot="1" x14ac:dyDescent="0.3">
      <c r="A86" s="28">
        <v>167</v>
      </c>
      <c r="B86" s="29">
        <v>2</v>
      </c>
      <c r="C86" s="29">
        <v>1</v>
      </c>
      <c r="D86" s="30">
        <v>0</v>
      </c>
      <c r="E86" s="45">
        <f>CUESTIONARIO!I675</f>
        <v>0</v>
      </c>
    </row>
    <row r="87" spans="1:5" ht="15.75" thickBot="1" x14ac:dyDescent="0.3"/>
    <row r="88" spans="1:5" ht="15.75" thickBot="1" x14ac:dyDescent="0.3">
      <c r="A88" s="56" t="s">
        <v>9</v>
      </c>
      <c r="B88" s="57"/>
      <c r="C88" s="57"/>
      <c r="D88" s="57"/>
      <c r="E88" s="58"/>
    </row>
    <row r="89" spans="1:5" ht="15.75" thickBot="1" x14ac:dyDescent="0.3">
      <c r="A89" s="34" t="s">
        <v>15</v>
      </c>
      <c r="B89" s="35" t="s">
        <v>1</v>
      </c>
      <c r="C89" s="36" t="s">
        <v>2</v>
      </c>
      <c r="D89" s="35" t="s">
        <v>3</v>
      </c>
      <c r="E89" s="18" t="s">
        <v>20</v>
      </c>
    </row>
    <row r="90" spans="1:5" x14ac:dyDescent="0.25">
      <c r="A90" s="20">
        <v>20</v>
      </c>
      <c r="B90" s="21">
        <v>2</v>
      </c>
      <c r="C90" s="21">
        <v>1</v>
      </c>
      <c r="D90" s="22">
        <v>0</v>
      </c>
      <c r="E90" s="40">
        <f>CUESTIONARIO!I87</f>
        <v>0</v>
      </c>
    </row>
    <row r="91" spans="1:5" x14ac:dyDescent="0.25">
      <c r="A91" s="24">
        <v>21</v>
      </c>
      <c r="B91" s="25">
        <v>0</v>
      </c>
      <c r="C91" s="25">
        <v>1</v>
      </c>
      <c r="D91" s="26">
        <v>2</v>
      </c>
      <c r="E91" s="44">
        <f>CUESTIONARIO!I91</f>
        <v>0</v>
      </c>
    </row>
    <row r="92" spans="1:5" x14ac:dyDescent="0.25">
      <c r="A92" s="24">
        <v>45</v>
      </c>
      <c r="B92" s="25">
        <v>0</v>
      </c>
      <c r="C92" s="25">
        <v>1</v>
      </c>
      <c r="D92" s="26">
        <v>2</v>
      </c>
      <c r="E92" s="44">
        <f>CUESTIONARIO!I187</f>
        <v>0</v>
      </c>
    </row>
    <row r="93" spans="1:5" x14ac:dyDescent="0.25">
      <c r="A93" s="24">
        <v>46</v>
      </c>
      <c r="B93" s="25">
        <v>2</v>
      </c>
      <c r="C93" s="25">
        <v>1</v>
      </c>
      <c r="D93" s="26">
        <v>0</v>
      </c>
      <c r="E93" s="44">
        <f>CUESTIONARIO!I191</f>
        <v>0</v>
      </c>
    </row>
    <row r="94" spans="1:5" x14ac:dyDescent="0.25">
      <c r="A94" s="24">
        <v>70</v>
      </c>
      <c r="B94" s="25">
        <v>2</v>
      </c>
      <c r="C94" s="25">
        <v>1</v>
      </c>
      <c r="D94" s="26">
        <v>0</v>
      </c>
      <c r="E94" s="44">
        <f>CUESTIONARIO!I287</f>
        <v>0</v>
      </c>
    </row>
    <row r="95" spans="1:5" x14ac:dyDescent="0.25">
      <c r="A95" s="24">
        <v>95</v>
      </c>
      <c r="B95" s="25">
        <v>0</v>
      </c>
      <c r="C95" s="25">
        <v>1</v>
      </c>
      <c r="D95" s="26">
        <v>2</v>
      </c>
      <c r="E95" s="44">
        <f>CUESTIONARIO!I387</f>
        <v>0</v>
      </c>
    </row>
    <row r="96" spans="1:5" x14ac:dyDescent="0.25">
      <c r="A96" s="24">
        <v>120</v>
      </c>
      <c r="B96" s="25">
        <v>0</v>
      </c>
      <c r="C96" s="25">
        <v>1</v>
      </c>
      <c r="D96" s="26">
        <v>2</v>
      </c>
      <c r="E96" s="44">
        <f>CUESTIONARIO!I487</f>
        <v>0</v>
      </c>
    </row>
    <row r="97" spans="1:5" x14ac:dyDescent="0.25">
      <c r="A97" s="24">
        <v>145</v>
      </c>
      <c r="B97" s="25">
        <v>2</v>
      </c>
      <c r="C97" s="25">
        <v>1</v>
      </c>
      <c r="D97" s="26">
        <v>0</v>
      </c>
      <c r="E97" s="44">
        <f>CUESTIONARIO!I587</f>
        <v>0</v>
      </c>
    </row>
    <row r="98" spans="1:5" x14ac:dyDescent="0.25">
      <c r="A98" s="24">
        <v>169</v>
      </c>
      <c r="B98" s="25">
        <v>2</v>
      </c>
      <c r="C98" s="25">
        <v>1</v>
      </c>
      <c r="D98" s="26">
        <v>0</v>
      </c>
      <c r="E98" s="44">
        <f>CUESTIONARIO!I683</f>
        <v>0</v>
      </c>
    </row>
    <row r="99" spans="1:5" ht="15.75" thickBot="1" x14ac:dyDescent="0.3">
      <c r="A99" s="28">
        <v>170</v>
      </c>
      <c r="B99" s="29">
        <v>0</v>
      </c>
      <c r="C99" s="29">
        <v>1</v>
      </c>
      <c r="D99" s="30">
        <v>2</v>
      </c>
      <c r="E99" s="45">
        <f>CUESTIONARIO!I687</f>
        <v>0</v>
      </c>
    </row>
    <row r="100" spans="1:5" ht="15.75" thickBot="1" x14ac:dyDescent="0.3"/>
    <row r="101" spans="1:5" ht="15.75" thickBot="1" x14ac:dyDescent="0.3">
      <c r="A101" s="56" t="s">
        <v>10</v>
      </c>
      <c r="B101" s="57"/>
      <c r="C101" s="57"/>
      <c r="D101" s="57"/>
      <c r="E101" s="58"/>
    </row>
    <row r="102" spans="1:5" ht="15.75" thickBot="1" x14ac:dyDescent="0.3">
      <c r="A102" s="34" t="s">
        <v>15</v>
      </c>
      <c r="B102" s="35" t="s">
        <v>1</v>
      </c>
      <c r="C102" s="36" t="s">
        <v>2</v>
      </c>
      <c r="D102" s="35" t="s">
        <v>3</v>
      </c>
      <c r="E102" s="18" t="s">
        <v>20</v>
      </c>
    </row>
    <row r="103" spans="1:5" x14ac:dyDescent="0.25">
      <c r="A103" s="20">
        <v>23</v>
      </c>
      <c r="B103" s="21">
        <v>0</v>
      </c>
      <c r="C103" s="21">
        <v>1</v>
      </c>
      <c r="D103" s="22">
        <v>2</v>
      </c>
      <c r="E103" s="40">
        <f>CUESTIONARIO!I99</f>
        <v>0</v>
      </c>
    </row>
    <row r="104" spans="1:5" x14ac:dyDescent="0.25">
      <c r="A104" s="24">
        <v>24</v>
      </c>
      <c r="B104" s="25">
        <v>0</v>
      </c>
      <c r="C104" s="25">
        <v>1</v>
      </c>
      <c r="D104" s="26">
        <v>2</v>
      </c>
      <c r="E104" s="44">
        <f>CUESTIONARIO!I103</f>
        <v>0</v>
      </c>
    </row>
    <row r="105" spans="1:5" x14ac:dyDescent="0.25">
      <c r="A105" s="24">
        <v>48</v>
      </c>
      <c r="B105" s="25">
        <v>2</v>
      </c>
      <c r="C105" s="25">
        <v>1</v>
      </c>
      <c r="D105" s="26">
        <v>0</v>
      </c>
      <c r="E105" s="44">
        <f>CUESTIONARIO!I199</f>
        <v>0</v>
      </c>
    </row>
    <row r="106" spans="1:5" x14ac:dyDescent="0.25">
      <c r="A106" s="24">
        <v>73</v>
      </c>
      <c r="B106" s="25">
        <v>2</v>
      </c>
      <c r="C106" s="25">
        <v>1</v>
      </c>
      <c r="D106" s="26">
        <v>0</v>
      </c>
      <c r="E106" s="44">
        <f>CUESTIONARIO!I299</f>
        <v>0</v>
      </c>
    </row>
    <row r="107" spans="1:5" x14ac:dyDescent="0.25">
      <c r="A107" s="24">
        <v>98</v>
      </c>
      <c r="B107" s="25">
        <v>2</v>
      </c>
      <c r="C107" s="25">
        <v>1</v>
      </c>
      <c r="D107" s="26">
        <v>0</v>
      </c>
      <c r="E107" s="44">
        <f>CUESTIONARIO!I399</f>
        <v>0</v>
      </c>
    </row>
    <row r="108" spans="1:5" x14ac:dyDescent="0.25">
      <c r="A108" s="24">
        <v>123</v>
      </c>
      <c r="B108" s="25">
        <v>0</v>
      </c>
      <c r="C108" s="25">
        <v>1</v>
      </c>
      <c r="D108" s="26">
        <v>2</v>
      </c>
      <c r="E108" s="44">
        <f>CUESTIONARIO!I499</f>
        <v>0</v>
      </c>
    </row>
    <row r="109" spans="1:5" x14ac:dyDescent="0.25">
      <c r="A109" s="24">
        <v>147</v>
      </c>
      <c r="B109" s="25">
        <v>0</v>
      </c>
      <c r="C109" s="25">
        <v>1</v>
      </c>
      <c r="D109" s="26">
        <v>2</v>
      </c>
      <c r="E109" s="44">
        <f>CUESTIONARIO!I595</f>
        <v>0</v>
      </c>
    </row>
    <row r="110" spans="1:5" x14ac:dyDescent="0.25">
      <c r="A110" s="24">
        <v>148</v>
      </c>
      <c r="B110" s="25">
        <v>2</v>
      </c>
      <c r="C110" s="25">
        <v>1</v>
      </c>
      <c r="D110" s="26">
        <v>0</v>
      </c>
      <c r="E110" s="44">
        <f>CUESTIONARIO!I599</f>
        <v>0</v>
      </c>
    </row>
    <row r="111" spans="1:5" x14ac:dyDescent="0.25">
      <c r="A111" s="24">
        <v>172</v>
      </c>
      <c r="B111" s="25">
        <v>0</v>
      </c>
      <c r="C111" s="25">
        <v>1</v>
      </c>
      <c r="D111" s="26">
        <v>2</v>
      </c>
      <c r="E111" s="44">
        <f>CUESTIONARIO!I695</f>
        <v>0</v>
      </c>
    </row>
    <row r="112" spans="1:5" ht="15.75" thickBot="1" x14ac:dyDescent="0.3">
      <c r="A112" s="28">
        <v>173</v>
      </c>
      <c r="B112" s="29">
        <v>2</v>
      </c>
      <c r="C112" s="29">
        <v>1</v>
      </c>
      <c r="D112" s="30">
        <v>0</v>
      </c>
      <c r="E112" s="45">
        <f>CUESTIONARIO!I699</f>
        <v>0</v>
      </c>
    </row>
    <row r="113" spans="1:5" ht="15.75" thickBot="1" x14ac:dyDescent="0.3"/>
    <row r="114" spans="1:5" ht="15.75" thickBot="1" x14ac:dyDescent="0.3">
      <c r="A114" s="56" t="s">
        <v>11</v>
      </c>
      <c r="B114" s="57"/>
      <c r="C114" s="57"/>
      <c r="D114" s="57"/>
      <c r="E114" s="58"/>
    </row>
    <row r="115" spans="1:5" ht="15.75" thickBot="1" x14ac:dyDescent="0.3">
      <c r="A115" s="34" t="s">
        <v>15</v>
      </c>
      <c r="B115" s="35" t="s">
        <v>1</v>
      </c>
      <c r="C115" s="36" t="s">
        <v>2</v>
      </c>
      <c r="D115" s="35" t="s">
        <v>3</v>
      </c>
      <c r="E115" s="18" t="s">
        <v>20</v>
      </c>
    </row>
    <row r="116" spans="1:5" x14ac:dyDescent="0.25">
      <c r="A116" s="20">
        <v>28</v>
      </c>
      <c r="B116" s="21">
        <v>0</v>
      </c>
      <c r="C116" s="21">
        <v>1</v>
      </c>
      <c r="D116" s="22">
        <v>0</v>
      </c>
      <c r="E116" s="40">
        <f>CUESTIONARIO!I119</f>
        <v>0</v>
      </c>
    </row>
    <row r="117" spans="1:5" x14ac:dyDescent="0.25">
      <c r="A117" s="24">
        <v>53</v>
      </c>
      <c r="B117" s="25">
        <v>0</v>
      </c>
      <c r="C117" s="25">
        <v>1</v>
      </c>
      <c r="D117" s="26">
        <v>0</v>
      </c>
      <c r="E117" s="44">
        <f>CUESTIONARIO!I219</f>
        <v>0</v>
      </c>
    </row>
    <row r="118" spans="1:5" x14ac:dyDescent="0.25">
      <c r="A118" s="24">
        <v>54</v>
      </c>
      <c r="B118" s="25">
        <v>0</v>
      </c>
      <c r="C118" s="25">
        <v>1</v>
      </c>
      <c r="D118" s="26">
        <v>0</v>
      </c>
      <c r="E118" s="44">
        <f>CUESTIONARIO!I223</f>
        <v>0</v>
      </c>
    </row>
    <row r="119" spans="1:5" x14ac:dyDescent="0.25">
      <c r="A119" s="24">
        <v>103</v>
      </c>
      <c r="B119" s="25">
        <v>0</v>
      </c>
      <c r="C119" s="25">
        <v>1</v>
      </c>
      <c r="D119" s="26">
        <v>0</v>
      </c>
      <c r="E119" s="44">
        <f>CUESTIONARIO!I419</f>
        <v>0</v>
      </c>
    </row>
    <row r="120" spans="1:5" x14ac:dyDescent="0.25">
      <c r="A120" s="24">
        <v>127</v>
      </c>
      <c r="B120" s="25">
        <v>0</v>
      </c>
      <c r="C120" s="25">
        <v>0</v>
      </c>
      <c r="D120" s="26">
        <v>1</v>
      </c>
      <c r="E120" s="44">
        <f>CUESTIONARIO!I515</f>
        <v>0</v>
      </c>
    </row>
    <row r="121" spans="1:5" x14ac:dyDescent="0.25">
      <c r="A121" s="24">
        <v>77</v>
      </c>
      <c r="B121" s="25">
        <v>0</v>
      </c>
      <c r="C121" s="25">
        <v>0</v>
      </c>
      <c r="D121" s="26">
        <v>1</v>
      </c>
      <c r="E121" s="44">
        <f>CUESTIONARIO!I315</f>
        <v>0</v>
      </c>
    </row>
    <row r="122" spans="1:5" x14ac:dyDescent="0.25">
      <c r="A122" s="24">
        <v>78</v>
      </c>
      <c r="B122" s="25">
        <v>0</v>
      </c>
      <c r="C122" s="25">
        <v>1</v>
      </c>
      <c r="D122" s="26">
        <v>0</v>
      </c>
      <c r="E122" s="44">
        <f>CUESTIONARIO!I319</f>
        <v>0</v>
      </c>
    </row>
    <row r="123" spans="1:5" x14ac:dyDescent="0.25">
      <c r="A123" s="24">
        <v>102</v>
      </c>
      <c r="B123" s="25">
        <v>0</v>
      </c>
      <c r="C123" s="25">
        <v>0</v>
      </c>
      <c r="D123" s="26">
        <v>1</v>
      </c>
      <c r="E123" s="44">
        <f>CUESTIONARIO!I415</f>
        <v>0</v>
      </c>
    </row>
    <row r="124" spans="1:5" x14ac:dyDescent="0.25">
      <c r="A124" s="24">
        <v>153</v>
      </c>
      <c r="B124" s="25">
        <v>0</v>
      </c>
      <c r="C124" s="25">
        <v>0</v>
      </c>
      <c r="D124" s="26">
        <v>1</v>
      </c>
      <c r="E124" s="44">
        <f>CUESTIONARIO!I619</f>
        <v>0</v>
      </c>
    </row>
    <row r="125" spans="1:5" x14ac:dyDescent="0.25">
      <c r="A125" s="24">
        <v>152</v>
      </c>
      <c r="B125" s="25">
        <v>1</v>
      </c>
      <c r="C125" s="25">
        <v>0</v>
      </c>
      <c r="D125" s="26">
        <v>0</v>
      </c>
      <c r="E125" s="44">
        <f>CUESTIONARIO!I615</f>
        <v>0</v>
      </c>
    </row>
    <row r="126" spans="1:5" x14ac:dyDescent="0.25">
      <c r="A126" s="24">
        <v>178</v>
      </c>
      <c r="B126" s="25">
        <v>1</v>
      </c>
      <c r="C126" s="25">
        <v>0</v>
      </c>
      <c r="D126" s="26">
        <v>0</v>
      </c>
      <c r="E126" s="44">
        <f>CUESTIONARIO!I719</f>
        <v>0</v>
      </c>
    </row>
    <row r="127" spans="1:5" x14ac:dyDescent="0.25">
      <c r="A127" s="24">
        <v>177</v>
      </c>
      <c r="B127" s="25">
        <v>1</v>
      </c>
      <c r="C127" s="25">
        <v>0</v>
      </c>
      <c r="D127" s="26">
        <v>0</v>
      </c>
      <c r="E127" s="44">
        <f>CUESTIONARIO!I715</f>
        <v>0</v>
      </c>
    </row>
    <row r="128" spans="1:5" ht="15.75" thickBot="1" x14ac:dyDescent="0.3">
      <c r="A128" s="28">
        <v>128</v>
      </c>
      <c r="B128" s="29">
        <v>0</v>
      </c>
      <c r="C128" s="29">
        <v>1</v>
      </c>
      <c r="D128" s="30">
        <v>0</v>
      </c>
      <c r="E128" s="45">
        <f>CUESTIONARIO!I519</f>
        <v>0</v>
      </c>
    </row>
    <row r="129" spans="1:5" ht="15.75" thickBot="1" x14ac:dyDescent="0.3"/>
    <row r="130" spans="1:5" ht="15.75" thickBot="1" x14ac:dyDescent="0.3">
      <c r="A130" s="56" t="s">
        <v>16</v>
      </c>
      <c r="B130" s="57"/>
      <c r="C130" s="57"/>
      <c r="D130" s="57"/>
      <c r="E130" s="58"/>
    </row>
    <row r="131" spans="1:5" ht="15.75" thickBot="1" x14ac:dyDescent="0.3">
      <c r="A131" s="34" t="s">
        <v>15</v>
      </c>
      <c r="B131" s="35" t="s">
        <v>1</v>
      </c>
      <c r="C131" s="36" t="s">
        <v>2</v>
      </c>
      <c r="D131" s="35" t="s">
        <v>3</v>
      </c>
      <c r="E131" s="18" t="s">
        <v>20</v>
      </c>
    </row>
    <row r="132" spans="1:5" x14ac:dyDescent="0.25">
      <c r="A132" s="20">
        <v>6</v>
      </c>
      <c r="B132" s="21">
        <v>0</v>
      </c>
      <c r="C132" s="21">
        <v>1</v>
      </c>
      <c r="D132" s="22">
        <v>2</v>
      </c>
      <c r="E132" s="40">
        <f>CUESTIONARIO!I31</f>
        <v>0</v>
      </c>
    </row>
    <row r="133" spans="1:5" x14ac:dyDescent="0.25">
      <c r="A133" s="24">
        <v>7</v>
      </c>
      <c r="B133" s="25">
        <v>2</v>
      </c>
      <c r="C133" s="25">
        <v>1</v>
      </c>
      <c r="D133" s="26">
        <v>0</v>
      </c>
      <c r="E133" s="44">
        <f>CUESTIONARIO!I35</f>
        <v>0</v>
      </c>
    </row>
    <row r="134" spans="1:5" x14ac:dyDescent="0.25">
      <c r="A134" s="24">
        <v>31</v>
      </c>
      <c r="B134" s="25">
        <v>0</v>
      </c>
      <c r="C134" s="25">
        <v>1</v>
      </c>
      <c r="D134" s="26">
        <v>2</v>
      </c>
      <c r="E134" s="44">
        <f>CUESTIONARIO!I131</f>
        <v>0</v>
      </c>
    </row>
    <row r="135" spans="1:5" x14ac:dyDescent="0.25">
      <c r="A135" s="24">
        <v>32</v>
      </c>
      <c r="B135" s="25">
        <v>0</v>
      </c>
      <c r="C135" s="25">
        <v>1</v>
      </c>
      <c r="D135" s="26">
        <v>2</v>
      </c>
      <c r="E135" s="44">
        <f>CUESTIONARIO!I135</f>
        <v>0</v>
      </c>
    </row>
    <row r="136" spans="1:5" x14ac:dyDescent="0.25">
      <c r="A136" s="24">
        <v>56</v>
      </c>
      <c r="B136" s="25">
        <v>2</v>
      </c>
      <c r="C136" s="25">
        <v>1</v>
      </c>
      <c r="D136" s="26">
        <v>0</v>
      </c>
      <c r="E136" s="44">
        <f>CUESTIONARIO!I231</f>
        <v>0</v>
      </c>
    </row>
    <row r="137" spans="1:5" x14ac:dyDescent="0.25">
      <c r="A137" s="24">
        <v>57</v>
      </c>
      <c r="B137" s="25">
        <v>0</v>
      </c>
      <c r="C137" s="25">
        <v>1</v>
      </c>
      <c r="D137" s="26">
        <v>2</v>
      </c>
      <c r="E137" s="44">
        <f>CUESTIONARIO!I235</f>
        <v>0</v>
      </c>
    </row>
    <row r="138" spans="1:5" x14ac:dyDescent="0.25">
      <c r="A138" s="24">
        <v>81</v>
      </c>
      <c r="B138" s="25">
        <v>0</v>
      </c>
      <c r="C138" s="25">
        <v>1</v>
      </c>
      <c r="D138" s="26">
        <v>2</v>
      </c>
      <c r="E138" s="44">
        <f>CUESTIONARIO!I331</f>
        <v>0</v>
      </c>
    </row>
    <row r="139" spans="1:5" x14ac:dyDescent="0.25">
      <c r="A139" s="24">
        <v>106</v>
      </c>
      <c r="B139" s="25">
        <v>0</v>
      </c>
      <c r="C139" s="25">
        <v>1</v>
      </c>
      <c r="D139" s="26">
        <v>2</v>
      </c>
      <c r="E139" s="44">
        <f>CUESTIONARIO!I431</f>
        <v>0</v>
      </c>
    </row>
    <row r="140" spans="1:5" x14ac:dyDescent="0.25">
      <c r="A140" s="24">
        <v>131</v>
      </c>
      <c r="B140" s="25">
        <v>2</v>
      </c>
      <c r="C140" s="25">
        <v>1</v>
      </c>
      <c r="D140" s="26">
        <v>0</v>
      </c>
      <c r="E140" s="44">
        <f>CUESTIONARIO!I531</f>
        <v>0</v>
      </c>
    </row>
    <row r="141" spans="1:5" x14ac:dyDescent="0.25">
      <c r="A141" s="24">
        <v>155</v>
      </c>
      <c r="B141" s="25">
        <v>2</v>
      </c>
      <c r="C141" s="25">
        <v>1</v>
      </c>
      <c r="D141" s="26">
        <v>0</v>
      </c>
      <c r="E141" s="44">
        <f>CUESTIONARIO!I627</f>
        <v>0</v>
      </c>
    </row>
    <row r="142" spans="1:5" x14ac:dyDescent="0.25">
      <c r="A142" s="24">
        <v>180</v>
      </c>
      <c r="B142" s="25">
        <v>2</v>
      </c>
      <c r="C142" s="25">
        <v>1</v>
      </c>
      <c r="D142" s="26">
        <v>0</v>
      </c>
      <c r="E142" s="44">
        <f>CUESTIONARIO!I727</f>
        <v>0</v>
      </c>
    </row>
    <row r="143" spans="1:5" x14ac:dyDescent="0.25">
      <c r="A143" s="24">
        <v>156</v>
      </c>
      <c r="B143" s="25">
        <v>2</v>
      </c>
      <c r="C143" s="25">
        <v>1</v>
      </c>
      <c r="D143" s="26">
        <v>0</v>
      </c>
      <c r="E143" s="44">
        <f>CUESTIONARIO!I631</f>
        <v>0</v>
      </c>
    </row>
    <row r="144" spans="1:5" ht="15.75" thickBot="1" x14ac:dyDescent="0.3">
      <c r="A144" s="28">
        <v>181</v>
      </c>
      <c r="B144" s="29">
        <v>2</v>
      </c>
      <c r="C144" s="29">
        <v>1</v>
      </c>
      <c r="D144" s="30">
        <v>0</v>
      </c>
      <c r="E144" s="45">
        <f>CUESTIONARIO!I731</f>
        <v>0</v>
      </c>
    </row>
    <row r="145" spans="1:5" ht="15.75" thickBot="1" x14ac:dyDescent="0.3"/>
    <row r="146" spans="1:5" ht="15.75" thickBot="1" x14ac:dyDescent="0.3">
      <c r="A146" s="59" t="s">
        <v>17</v>
      </c>
      <c r="B146" s="60"/>
      <c r="C146" s="60"/>
      <c r="D146" s="60"/>
      <c r="E146" s="61"/>
    </row>
    <row r="147" spans="1:5" ht="15.75" thickBot="1" x14ac:dyDescent="0.3">
      <c r="A147" s="34" t="s">
        <v>15</v>
      </c>
      <c r="B147" s="35" t="s">
        <v>1</v>
      </c>
      <c r="C147" s="36" t="s">
        <v>2</v>
      </c>
      <c r="D147" s="35" t="s">
        <v>3</v>
      </c>
      <c r="E147" s="18" t="s">
        <v>20</v>
      </c>
    </row>
    <row r="148" spans="1:5" x14ac:dyDescent="0.25">
      <c r="A148" s="20">
        <v>9</v>
      </c>
      <c r="B148" s="21">
        <v>0</v>
      </c>
      <c r="C148" s="21">
        <v>1</v>
      </c>
      <c r="D148" s="22">
        <v>2</v>
      </c>
      <c r="E148" s="40">
        <f>CUESTIONARIO!I43</f>
        <v>0</v>
      </c>
    </row>
    <row r="149" spans="1:5" x14ac:dyDescent="0.25">
      <c r="A149" s="24">
        <v>34</v>
      </c>
      <c r="B149" s="25">
        <v>0</v>
      </c>
      <c r="C149" s="25">
        <v>1</v>
      </c>
      <c r="D149" s="26">
        <v>2</v>
      </c>
      <c r="E149" s="44">
        <f>CUESTIONARIO!I143</f>
        <v>0</v>
      </c>
    </row>
    <row r="150" spans="1:5" x14ac:dyDescent="0.25">
      <c r="A150" s="24">
        <v>59</v>
      </c>
      <c r="B150" s="25">
        <v>0</v>
      </c>
      <c r="C150" s="25">
        <v>1</v>
      </c>
      <c r="D150" s="26">
        <v>2</v>
      </c>
      <c r="E150" s="44">
        <f>CUESTIONARIO!I243</f>
        <v>0</v>
      </c>
    </row>
    <row r="151" spans="1:5" x14ac:dyDescent="0.25">
      <c r="A151" s="24">
        <v>84</v>
      </c>
      <c r="B151" s="25">
        <v>0</v>
      </c>
      <c r="C151" s="25">
        <v>1</v>
      </c>
      <c r="D151" s="26">
        <v>2</v>
      </c>
      <c r="E151" s="44">
        <f>CUESTIONARIO!I343</f>
        <v>0</v>
      </c>
    </row>
    <row r="152" spans="1:5" x14ac:dyDescent="0.25">
      <c r="A152" s="24">
        <v>109</v>
      </c>
      <c r="B152" s="25">
        <v>2</v>
      </c>
      <c r="C152" s="25">
        <v>1</v>
      </c>
      <c r="D152" s="26">
        <v>0</v>
      </c>
      <c r="E152" s="44">
        <f>CUESTIONARIO!I443</f>
        <v>0</v>
      </c>
    </row>
    <row r="153" spans="1:5" x14ac:dyDescent="0.25">
      <c r="A153" s="24">
        <v>134</v>
      </c>
      <c r="B153" s="25">
        <v>2</v>
      </c>
      <c r="C153" s="25">
        <v>1</v>
      </c>
      <c r="D153" s="26">
        <v>0</v>
      </c>
      <c r="E153" s="44">
        <f>CUESTIONARIO!I543</f>
        <v>0</v>
      </c>
    </row>
    <row r="154" spans="1:5" x14ac:dyDescent="0.25">
      <c r="A154" s="24">
        <v>159</v>
      </c>
      <c r="B154" s="25">
        <v>0</v>
      </c>
      <c r="C154" s="25">
        <v>1</v>
      </c>
      <c r="D154" s="26">
        <v>2</v>
      </c>
      <c r="E154" s="44">
        <f>CUESTIONARIO!I643</f>
        <v>0</v>
      </c>
    </row>
    <row r="155" spans="1:5" x14ac:dyDescent="0.25">
      <c r="A155" s="24">
        <v>160</v>
      </c>
      <c r="B155" s="25">
        <v>2</v>
      </c>
      <c r="C155" s="25">
        <v>1</v>
      </c>
      <c r="D155" s="26">
        <v>0</v>
      </c>
      <c r="E155" s="44">
        <f>CUESTIONARIO!I647</f>
        <v>0</v>
      </c>
    </row>
    <row r="156" spans="1:5" x14ac:dyDescent="0.25">
      <c r="A156" s="24">
        <v>184</v>
      </c>
      <c r="B156" s="25">
        <v>2</v>
      </c>
      <c r="C156" s="25">
        <v>1</v>
      </c>
      <c r="D156" s="26">
        <v>0</v>
      </c>
      <c r="E156" s="44">
        <f>CUESTIONARIO!I743</f>
        <v>0</v>
      </c>
    </row>
    <row r="157" spans="1:5" ht="15.75" thickBot="1" x14ac:dyDescent="0.3">
      <c r="A157" s="28">
        <v>185</v>
      </c>
      <c r="B157" s="29">
        <v>2</v>
      </c>
      <c r="C157" s="29">
        <v>1</v>
      </c>
      <c r="D157" s="30">
        <v>0</v>
      </c>
      <c r="E157" s="45">
        <f>CUESTIONARIO!I747</f>
        <v>0</v>
      </c>
    </row>
    <row r="158" spans="1:5" ht="15.75" thickBot="1" x14ac:dyDescent="0.3"/>
    <row r="159" spans="1:5" ht="15.75" thickBot="1" x14ac:dyDescent="0.3">
      <c r="A159" s="56" t="s">
        <v>18</v>
      </c>
      <c r="B159" s="57"/>
      <c r="C159" s="57"/>
      <c r="D159" s="57"/>
      <c r="E159" s="58"/>
    </row>
    <row r="160" spans="1:5" ht="15.75" thickBot="1" x14ac:dyDescent="0.3">
      <c r="A160" s="34" t="s">
        <v>15</v>
      </c>
      <c r="B160" s="35" t="s">
        <v>1</v>
      </c>
      <c r="C160" s="36" t="s">
        <v>2</v>
      </c>
      <c r="D160" s="35" t="s">
        <v>3</v>
      </c>
      <c r="E160" s="18" t="s">
        <v>20</v>
      </c>
    </row>
    <row r="161" spans="1:5" x14ac:dyDescent="0.25">
      <c r="A161" s="20">
        <v>11</v>
      </c>
      <c r="B161" s="21">
        <v>0</v>
      </c>
      <c r="C161" s="21">
        <v>1</v>
      </c>
      <c r="D161" s="22">
        <v>2</v>
      </c>
      <c r="E161" s="40">
        <f>CUESTIONARIO!I51</f>
        <v>0</v>
      </c>
    </row>
    <row r="162" spans="1:5" x14ac:dyDescent="0.25">
      <c r="A162" s="24">
        <v>37</v>
      </c>
      <c r="B162" s="25">
        <v>2</v>
      </c>
      <c r="C162" s="25">
        <v>1</v>
      </c>
      <c r="D162" s="26">
        <v>0</v>
      </c>
      <c r="E162" s="44">
        <f>CUESTIONARIO!I155</f>
        <v>0</v>
      </c>
    </row>
    <row r="163" spans="1:5" x14ac:dyDescent="0.25">
      <c r="A163" s="24">
        <v>62</v>
      </c>
      <c r="B163" s="25">
        <v>0</v>
      </c>
      <c r="C163" s="25">
        <v>1</v>
      </c>
      <c r="D163" s="26">
        <v>2</v>
      </c>
      <c r="E163" s="44">
        <f>CUESTIONARIO!I255</f>
        <v>0</v>
      </c>
    </row>
    <row r="164" spans="1:5" x14ac:dyDescent="0.25">
      <c r="A164" s="24">
        <v>87</v>
      </c>
      <c r="B164" s="25">
        <v>0</v>
      </c>
      <c r="C164" s="25">
        <v>1</v>
      </c>
      <c r="D164" s="26">
        <v>2</v>
      </c>
      <c r="E164" s="44">
        <f>CUESTIONARIO!I355</f>
        <v>0</v>
      </c>
    </row>
    <row r="165" spans="1:5" x14ac:dyDescent="0.25">
      <c r="A165" s="24">
        <v>112</v>
      </c>
      <c r="B165" s="25">
        <v>2</v>
      </c>
      <c r="C165" s="25">
        <v>1</v>
      </c>
      <c r="D165" s="26">
        <v>0</v>
      </c>
      <c r="E165" s="44">
        <f>CUESTIONARIO!I455</f>
        <v>0</v>
      </c>
    </row>
    <row r="166" spans="1:5" x14ac:dyDescent="0.25">
      <c r="A166" s="24">
        <v>137</v>
      </c>
      <c r="B166" s="25">
        <v>0</v>
      </c>
      <c r="C166" s="25">
        <v>1</v>
      </c>
      <c r="D166" s="26">
        <v>2</v>
      </c>
      <c r="E166" s="44">
        <f>CUESTIONARIO!I555</f>
        <v>0</v>
      </c>
    </row>
    <row r="167" spans="1:5" x14ac:dyDescent="0.25">
      <c r="A167" s="24">
        <v>138</v>
      </c>
      <c r="B167" s="25">
        <v>2</v>
      </c>
      <c r="C167" s="25">
        <v>1</v>
      </c>
      <c r="D167" s="26">
        <v>0</v>
      </c>
      <c r="E167" s="44">
        <f>CUESTIONARIO!I559</f>
        <v>0</v>
      </c>
    </row>
    <row r="168" spans="1:5" x14ac:dyDescent="0.25">
      <c r="A168" s="24">
        <v>162</v>
      </c>
      <c r="B168" s="25">
        <v>0</v>
      </c>
      <c r="C168" s="25">
        <v>1</v>
      </c>
      <c r="D168" s="26">
        <v>2</v>
      </c>
      <c r="E168" s="44">
        <f>CUESTIONARIO!I655</f>
        <v>0</v>
      </c>
    </row>
    <row r="169" spans="1:5" x14ac:dyDescent="0.25">
      <c r="A169" s="24">
        <v>12</v>
      </c>
      <c r="B169" s="25">
        <v>2</v>
      </c>
      <c r="C169" s="25">
        <v>1</v>
      </c>
      <c r="D169" s="26">
        <v>0</v>
      </c>
      <c r="E169" s="44">
        <f>CUESTIONARIO!I55</f>
        <v>0</v>
      </c>
    </row>
    <row r="170" spans="1:5" ht="15.75" thickBot="1" x14ac:dyDescent="0.3">
      <c r="A170" s="28">
        <v>163</v>
      </c>
      <c r="B170" s="29">
        <v>2</v>
      </c>
      <c r="C170" s="29">
        <v>1</v>
      </c>
      <c r="D170" s="30">
        <v>0</v>
      </c>
      <c r="E170" s="45">
        <f>CUESTIONARIO!I659</f>
        <v>0</v>
      </c>
    </row>
    <row r="171" spans="1:5" ht="15.75" thickBot="1" x14ac:dyDescent="0.3"/>
    <row r="172" spans="1:5" ht="15.75" thickBot="1" x14ac:dyDescent="0.3">
      <c r="A172" s="56" t="s">
        <v>19</v>
      </c>
      <c r="B172" s="57"/>
      <c r="C172" s="57"/>
      <c r="D172" s="57"/>
      <c r="E172" s="58"/>
    </row>
    <row r="173" spans="1:5" ht="15.75" thickBot="1" x14ac:dyDescent="0.3">
      <c r="A173" s="34" t="s">
        <v>15</v>
      </c>
      <c r="B173" s="35" t="s">
        <v>1</v>
      </c>
      <c r="C173" s="36" t="s">
        <v>2</v>
      </c>
      <c r="D173" s="35" t="s">
        <v>3</v>
      </c>
      <c r="E173" s="18" t="s">
        <v>20</v>
      </c>
    </row>
    <row r="174" spans="1:5" x14ac:dyDescent="0.25">
      <c r="A174" s="20">
        <v>14</v>
      </c>
      <c r="B174" s="21">
        <v>0</v>
      </c>
      <c r="C174" s="21">
        <v>1</v>
      </c>
      <c r="D174" s="22">
        <v>2</v>
      </c>
      <c r="E174" s="40">
        <f>CUESTIONARIO!I63</f>
        <v>0</v>
      </c>
    </row>
    <row r="175" spans="1:5" x14ac:dyDescent="0.25">
      <c r="A175" s="24">
        <v>15</v>
      </c>
      <c r="B175" s="25">
        <v>0</v>
      </c>
      <c r="C175" s="25">
        <v>1</v>
      </c>
      <c r="D175" s="26">
        <v>2</v>
      </c>
      <c r="E175" s="44">
        <f>CUESTIONARIO!I67</f>
        <v>0</v>
      </c>
    </row>
    <row r="176" spans="1:5" x14ac:dyDescent="0.25">
      <c r="A176" s="24">
        <v>39</v>
      </c>
      <c r="B176" s="25">
        <v>2</v>
      </c>
      <c r="C176" s="25">
        <v>1</v>
      </c>
      <c r="D176" s="26">
        <v>0</v>
      </c>
      <c r="E176" s="44">
        <f>CUESTIONARIO!I163</f>
        <v>0</v>
      </c>
    </row>
    <row r="177" spans="1:5" x14ac:dyDescent="0.25">
      <c r="A177" s="24">
        <v>40</v>
      </c>
      <c r="B177" s="25">
        <v>2</v>
      </c>
      <c r="C177" s="25">
        <v>1</v>
      </c>
      <c r="D177" s="26">
        <v>0</v>
      </c>
      <c r="E177" s="44">
        <f>CUESTIONARIO!I167</f>
        <v>0</v>
      </c>
    </row>
    <row r="178" spans="1:5" x14ac:dyDescent="0.25">
      <c r="A178" s="24">
        <v>65</v>
      </c>
      <c r="B178" s="25">
        <v>2</v>
      </c>
      <c r="C178" s="25">
        <v>1</v>
      </c>
      <c r="D178" s="26">
        <v>0</v>
      </c>
      <c r="E178" s="44">
        <f>CUESTIONARIO!I267</f>
        <v>0</v>
      </c>
    </row>
    <row r="179" spans="1:5" x14ac:dyDescent="0.25">
      <c r="A179" s="24">
        <v>90</v>
      </c>
      <c r="B179" s="25">
        <v>0</v>
      </c>
      <c r="C179" s="25">
        <v>1</v>
      </c>
      <c r="D179" s="26">
        <v>2</v>
      </c>
      <c r="E179" s="44">
        <f>CUESTIONARIO!I367</f>
        <v>0</v>
      </c>
    </row>
    <row r="180" spans="1:5" x14ac:dyDescent="0.25">
      <c r="A180" s="24">
        <v>115</v>
      </c>
      <c r="B180" s="25">
        <v>2</v>
      </c>
      <c r="C180" s="25">
        <v>1</v>
      </c>
      <c r="D180" s="26">
        <v>0</v>
      </c>
      <c r="E180" s="44">
        <f>CUESTIONARIO!I467</f>
        <v>0</v>
      </c>
    </row>
    <row r="181" spans="1:5" x14ac:dyDescent="0.25">
      <c r="A181" s="24">
        <v>140</v>
      </c>
      <c r="B181" s="25">
        <v>2</v>
      </c>
      <c r="C181" s="25">
        <v>1</v>
      </c>
      <c r="D181" s="26">
        <v>0</v>
      </c>
      <c r="E181" s="44">
        <f>CUESTIONARIO!I567</f>
        <v>0</v>
      </c>
    </row>
    <row r="182" spans="1:5" x14ac:dyDescent="0.25">
      <c r="A182" s="24">
        <v>91</v>
      </c>
      <c r="B182" s="25">
        <v>2</v>
      </c>
      <c r="C182" s="25">
        <v>1</v>
      </c>
      <c r="D182" s="26">
        <v>0</v>
      </c>
      <c r="E182" s="44">
        <f>CUESTIONARIO!I371</f>
        <v>0</v>
      </c>
    </row>
    <row r="183" spans="1:5" x14ac:dyDescent="0.25">
      <c r="A183" s="24">
        <v>116</v>
      </c>
      <c r="B183" s="25">
        <v>2</v>
      </c>
      <c r="C183" s="25">
        <v>1</v>
      </c>
      <c r="D183" s="26">
        <v>0</v>
      </c>
      <c r="E183" s="44">
        <f>CUESTIONARIO!I471</f>
        <v>0</v>
      </c>
    </row>
    <row r="184" spans="1:5" x14ac:dyDescent="0.25">
      <c r="A184" s="24">
        <v>166</v>
      </c>
      <c r="B184" s="25">
        <v>0</v>
      </c>
      <c r="C184" s="25">
        <v>1</v>
      </c>
      <c r="D184" s="26">
        <v>2</v>
      </c>
      <c r="E184" s="44">
        <f>CUESTIONARIO!I671</f>
        <v>0</v>
      </c>
    </row>
    <row r="185" spans="1:5" ht="15.75" thickBot="1" x14ac:dyDescent="0.3">
      <c r="A185" s="28">
        <v>165</v>
      </c>
      <c r="B185" s="29">
        <v>0</v>
      </c>
      <c r="C185" s="29">
        <v>1</v>
      </c>
      <c r="D185" s="30">
        <v>2</v>
      </c>
      <c r="E185" s="45">
        <f>CUESTIONARIO!I667</f>
        <v>0</v>
      </c>
    </row>
    <row r="186" spans="1:5" ht="15.75" thickBot="1" x14ac:dyDescent="0.3"/>
    <row r="187" spans="1:5" ht="15.75" thickBot="1" x14ac:dyDescent="0.3">
      <c r="A187" s="56" t="s">
        <v>12</v>
      </c>
      <c r="B187" s="57"/>
      <c r="C187" s="57"/>
      <c r="D187" s="57"/>
      <c r="E187" s="58"/>
    </row>
    <row r="188" spans="1:5" ht="15.75" thickBot="1" x14ac:dyDescent="0.3">
      <c r="A188" s="34" t="s">
        <v>15</v>
      </c>
      <c r="B188" s="35" t="s">
        <v>1</v>
      </c>
      <c r="C188" s="36" t="s">
        <v>2</v>
      </c>
      <c r="D188" s="35" t="s">
        <v>3</v>
      </c>
      <c r="E188" s="18" t="s">
        <v>20</v>
      </c>
    </row>
    <row r="189" spans="1:5" x14ac:dyDescent="0.25">
      <c r="A189" s="20">
        <v>18</v>
      </c>
      <c r="B189" s="21">
        <v>2</v>
      </c>
      <c r="C189" s="21">
        <v>1</v>
      </c>
      <c r="D189" s="22">
        <v>0</v>
      </c>
      <c r="E189" s="40">
        <f>CUESTIONARIO!I79</f>
        <v>0</v>
      </c>
    </row>
    <row r="190" spans="1:5" x14ac:dyDescent="0.25">
      <c r="A190" s="24">
        <v>19</v>
      </c>
      <c r="B190" s="25">
        <v>0</v>
      </c>
      <c r="C190" s="25">
        <v>1</v>
      </c>
      <c r="D190" s="26">
        <v>2</v>
      </c>
      <c r="E190" s="44">
        <f>CUESTIONARIO!I83</f>
        <v>0</v>
      </c>
    </row>
    <row r="191" spans="1:5" x14ac:dyDescent="0.25">
      <c r="A191" s="24">
        <v>43</v>
      </c>
      <c r="B191" s="25">
        <v>2</v>
      </c>
      <c r="C191" s="25">
        <v>1</v>
      </c>
      <c r="D191" s="26">
        <v>0</v>
      </c>
      <c r="E191" s="44">
        <f>CUESTIONARIO!I179</f>
        <v>0</v>
      </c>
    </row>
    <row r="192" spans="1:5" x14ac:dyDescent="0.25">
      <c r="A192" s="24">
        <v>44</v>
      </c>
      <c r="B192" s="25">
        <v>0</v>
      </c>
      <c r="C192" s="25">
        <v>1</v>
      </c>
      <c r="D192" s="26">
        <v>2</v>
      </c>
      <c r="E192" s="44">
        <f>CUESTIONARIO!I183</f>
        <v>0</v>
      </c>
    </row>
    <row r="193" spans="1:5" x14ac:dyDescent="0.25">
      <c r="A193" s="24">
        <v>68</v>
      </c>
      <c r="B193" s="25">
        <v>0</v>
      </c>
      <c r="C193" s="25">
        <v>1</v>
      </c>
      <c r="D193" s="26">
        <v>2</v>
      </c>
      <c r="E193" s="44">
        <f>CUESTIONARIO!I279</f>
        <v>0</v>
      </c>
    </row>
    <row r="194" spans="1:5" x14ac:dyDescent="0.25">
      <c r="A194" s="24">
        <v>69</v>
      </c>
      <c r="B194" s="25">
        <v>2</v>
      </c>
      <c r="C194" s="25">
        <v>1</v>
      </c>
      <c r="D194" s="26">
        <v>0</v>
      </c>
      <c r="E194" s="44">
        <f>CUESTIONARIO!I283</f>
        <v>0</v>
      </c>
    </row>
    <row r="195" spans="1:5" x14ac:dyDescent="0.25">
      <c r="A195" s="24">
        <v>93</v>
      </c>
      <c r="B195" s="25">
        <v>0</v>
      </c>
      <c r="C195" s="25">
        <v>1</v>
      </c>
      <c r="D195" s="26">
        <v>2</v>
      </c>
      <c r="E195" s="44">
        <f>CUESTIONARIO!I379</f>
        <v>0</v>
      </c>
    </row>
    <row r="196" spans="1:5" x14ac:dyDescent="0.25">
      <c r="A196" s="24">
        <v>94</v>
      </c>
      <c r="B196" s="25">
        <v>2</v>
      </c>
      <c r="C196" s="25">
        <v>1</v>
      </c>
      <c r="D196" s="26">
        <v>0</v>
      </c>
      <c r="E196" s="44">
        <f>CUESTIONARIO!I383</f>
        <v>0</v>
      </c>
    </row>
    <row r="197" spans="1:5" x14ac:dyDescent="0.25">
      <c r="A197" s="24">
        <v>118</v>
      </c>
      <c r="B197" s="25">
        <v>2</v>
      </c>
      <c r="C197" s="25">
        <v>1</v>
      </c>
      <c r="D197" s="26">
        <v>0</v>
      </c>
      <c r="E197" s="44">
        <f>CUESTIONARIO!I479</f>
        <v>0</v>
      </c>
    </row>
    <row r="198" spans="1:5" x14ac:dyDescent="0.25">
      <c r="A198" s="24">
        <v>119</v>
      </c>
      <c r="B198" s="25">
        <v>2</v>
      </c>
      <c r="C198" s="25">
        <v>1</v>
      </c>
      <c r="D198" s="26">
        <v>0</v>
      </c>
      <c r="E198" s="44">
        <f>CUESTIONARIO!I483</f>
        <v>0</v>
      </c>
    </row>
    <row r="199" spans="1:5" x14ac:dyDescent="0.25">
      <c r="A199" s="24">
        <v>143</v>
      </c>
      <c r="B199" s="25">
        <v>2</v>
      </c>
      <c r="C199" s="25">
        <v>1</v>
      </c>
      <c r="D199" s="26">
        <v>0</v>
      </c>
      <c r="E199" s="44">
        <f>CUESTIONARIO!I579</f>
        <v>0</v>
      </c>
    </row>
    <row r="200" spans="1:5" x14ac:dyDescent="0.25">
      <c r="A200" s="24">
        <v>144</v>
      </c>
      <c r="B200" s="25">
        <v>0</v>
      </c>
      <c r="C200" s="25">
        <v>1</v>
      </c>
      <c r="D200" s="26">
        <v>2</v>
      </c>
      <c r="E200" s="44">
        <f>CUESTIONARIO!I583</f>
        <v>0</v>
      </c>
    </row>
    <row r="201" spans="1:5" ht="15.75" thickBot="1" x14ac:dyDescent="0.3">
      <c r="A201" s="28">
        <v>168</v>
      </c>
      <c r="B201" s="29">
        <v>0</v>
      </c>
      <c r="C201" s="29">
        <v>1</v>
      </c>
      <c r="D201" s="30">
        <v>2</v>
      </c>
      <c r="E201" s="45">
        <f>CUESTIONARIO!I679</f>
        <v>0</v>
      </c>
    </row>
    <row r="202" spans="1:5" ht="15.75" thickBot="1" x14ac:dyDescent="0.3"/>
    <row r="203" spans="1:5" ht="15.75" thickBot="1" x14ac:dyDescent="0.3">
      <c r="A203" s="56" t="s">
        <v>13</v>
      </c>
      <c r="B203" s="57"/>
      <c r="C203" s="57"/>
      <c r="D203" s="57"/>
      <c r="E203" s="58"/>
    </row>
    <row r="204" spans="1:5" ht="15.75" thickBot="1" x14ac:dyDescent="0.3">
      <c r="A204" s="34" t="s">
        <v>15</v>
      </c>
      <c r="B204" s="35" t="s">
        <v>1</v>
      </c>
      <c r="C204" s="36" t="s">
        <v>2</v>
      </c>
      <c r="D204" s="35" t="s">
        <v>3</v>
      </c>
      <c r="E204" s="18" t="s">
        <v>20</v>
      </c>
    </row>
    <row r="205" spans="1:5" x14ac:dyDescent="0.25">
      <c r="A205" s="20">
        <v>2</v>
      </c>
      <c r="B205" s="21">
        <v>0</v>
      </c>
      <c r="C205" s="21">
        <v>1</v>
      </c>
      <c r="D205" s="22">
        <v>2</v>
      </c>
      <c r="E205" s="40">
        <f>CUESTIONARIO!I15</f>
        <v>0</v>
      </c>
    </row>
    <row r="206" spans="1:5" x14ac:dyDescent="0.25">
      <c r="A206" s="24">
        <v>47</v>
      </c>
      <c r="B206" s="25">
        <v>2</v>
      </c>
      <c r="C206" s="25">
        <v>1</v>
      </c>
      <c r="D206" s="26">
        <v>0</v>
      </c>
      <c r="E206" s="44">
        <f>CUESTIONARIO!I195</f>
        <v>0</v>
      </c>
    </row>
    <row r="207" spans="1:5" x14ac:dyDescent="0.25">
      <c r="A207" s="24">
        <v>71</v>
      </c>
      <c r="B207" s="25">
        <v>2</v>
      </c>
      <c r="C207" s="25">
        <v>1</v>
      </c>
      <c r="D207" s="26">
        <v>0</v>
      </c>
      <c r="E207" s="44">
        <f>CUESTIONARIO!I291</f>
        <v>0</v>
      </c>
    </row>
    <row r="208" spans="1:5" x14ac:dyDescent="0.25">
      <c r="A208" s="24">
        <v>72</v>
      </c>
      <c r="B208" s="25">
        <v>2</v>
      </c>
      <c r="C208" s="25">
        <v>1</v>
      </c>
      <c r="D208" s="26">
        <v>0</v>
      </c>
      <c r="E208" s="44">
        <f>CUESTIONARIO!I295</f>
        <v>0</v>
      </c>
    </row>
    <row r="209" spans="1:5" x14ac:dyDescent="0.25">
      <c r="A209" s="24">
        <v>96</v>
      </c>
      <c r="B209" s="25">
        <v>0</v>
      </c>
      <c r="C209" s="25">
        <v>1</v>
      </c>
      <c r="D209" s="26">
        <v>2</v>
      </c>
      <c r="E209" s="44">
        <f>CUESTIONARIO!I391</f>
        <v>0</v>
      </c>
    </row>
    <row r="210" spans="1:5" x14ac:dyDescent="0.25">
      <c r="A210" s="24">
        <v>97</v>
      </c>
      <c r="B210" s="25">
        <v>0</v>
      </c>
      <c r="C210" s="25">
        <v>1</v>
      </c>
      <c r="D210" s="26">
        <v>2</v>
      </c>
      <c r="E210" s="44">
        <f>CUESTIONARIO!I395</f>
        <v>0</v>
      </c>
    </row>
    <row r="211" spans="1:5" x14ac:dyDescent="0.25">
      <c r="A211" s="24">
        <v>121</v>
      </c>
      <c r="B211" s="25">
        <v>0</v>
      </c>
      <c r="C211" s="25">
        <v>1</v>
      </c>
      <c r="D211" s="26">
        <v>2</v>
      </c>
      <c r="E211" s="44">
        <f>CUESTIONARIO!I491</f>
        <v>0</v>
      </c>
    </row>
    <row r="212" spans="1:5" x14ac:dyDescent="0.25">
      <c r="A212" s="24">
        <v>122</v>
      </c>
      <c r="B212" s="25">
        <v>0</v>
      </c>
      <c r="C212" s="25">
        <v>1</v>
      </c>
      <c r="D212" s="26">
        <v>2</v>
      </c>
      <c r="E212" s="44">
        <f>CUESTIONARIO!I495</f>
        <v>0</v>
      </c>
    </row>
    <row r="213" spans="1:5" x14ac:dyDescent="0.25">
      <c r="A213" s="24">
        <v>146</v>
      </c>
      <c r="B213" s="25">
        <v>2</v>
      </c>
      <c r="C213" s="25">
        <v>1</v>
      </c>
      <c r="D213" s="26">
        <v>0</v>
      </c>
      <c r="E213" s="44">
        <f>CUESTIONARIO!I591</f>
        <v>0</v>
      </c>
    </row>
    <row r="214" spans="1:5" x14ac:dyDescent="0.25">
      <c r="A214" s="24">
        <v>22</v>
      </c>
      <c r="B214" s="25">
        <v>0</v>
      </c>
      <c r="C214" s="25">
        <v>1</v>
      </c>
      <c r="D214" s="26">
        <v>2</v>
      </c>
      <c r="E214" s="44">
        <f>CUESTIONARIO!I95</f>
        <v>0</v>
      </c>
    </row>
    <row r="215" spans="1:5" ht="15.75" thickBot="1" x14ac:dyDescent="0.3">
      <c r="A215" s="28">
        <v>171</v>
      </c>
      <c r="B215" s="29">
        <v>2</v>
      </c>
      <c r="C215" s="29">
        <v>1</v>
      </c>
      <c r="D215" s="30">
        <v>0</v>
      </c>
      <c r="E215" s="45">
        <f>CUESTIONARIO!I691</f>
        <v>0</v>
      </c>
    </row>
    <row r="216" spans="1:5" ht="15.75" thickBot="1" x14ac:dyDescent="0.3"/>
    <row r="217" spans="1:5" ht="15.75" thickBot="1" x14ac:dyDescent="0.3">
      <c r="A217" s="56" t="s">
        <v>14</v>
      </c>
      <c r="B217" s="57"/>
      <c r="C217" s="57"/>
      <c r="D217" s="57"/>
      <c r="E217" s="58"/>
    </row>
    <row r="218" spans="1:5" ht="15.75" thickBot="1" x14ac:dyDescent="0.3">
      <c r="A218" s="15" t="s">
        <v>15</v>
      </c>
      <c r="B218" s="16" t="s">
        <v>1</v>
      </c>
      <c r="C218" s="17" t="s">
        <v>2</v>
      </c>
      <c r="D218" s="16" t="s">
        <v>3</v>
      </c>
      <c r="E218" s="18" t="s">
        <v>20</v>
      </c>
    </row>
    <row r="219" spans="1:5" x14ac:dyDescent="0.25">
      <c r="A219" s="20">
        <v>5</v>
      </c>
      <c r="B219" s="25">
        <v>0</v>
      </c>
      <c r="C219" s="25">
        <v>1</v>
      </c>
      <c r="D219" s="26">
        <v>2</v>
      </c>
      <c r="E219" s="40">
        <f>CUESTIONARIO!I27</f>
        <v>0</v>
      </c>
    </row>
    <row r="220" spans="1:5" x14ac:dyDescent="0.25">
      <c r="A220" s="24">
        <v>49</v>
      </c>
      <c r="B220" s="25">
        <v>2</v>
      </c>
      <c r="C220" s="25">
        <v>1</v>
      </c>
      <c r="D220" s="26">
        <v>0</v>
      </c>
      <c r="E220" s="44">
        <f>CUESTIONARIO!I203</f>
        <v>0</v>
      </c>
    </row>
    <row r="221" spans="1:5" x14ac:dyDescent="0.25">
      <c r="A221" s="24">
        <v>50</v>
      </c>
      <c r="B221" s="25">
        <v>2</v>
      </c>
      <c r="C221" s="25">
        <v>1</v>
      </c>
      <c r="D221" s="26">
        <v>0</v>
      </c>
      <c r="E221" s="44">
        <f>CUESTIONARIO!I207</f>
        <v>0</v>
      </c>
    </row>
    <row r="222" spans="1:5" x14ac:dyDescent="0.25">
      <c r="A222" s="24">
        <v>74</v>
      </c>
      <c r="B222" s="25">
        <v>2</v>
      </c>
      <c r="C222" s="25">
        <v>1</v>
      </c>
      <c r="D222" s="26">
        <v>0</v>
      </c>
      <c r="E222" s="44">
        <f>CUESTIONARIO!I303</f>
        <v>0</v>
      </c>
    </row>
    <row r="223" spans="1:5" x14ac:dyDescent="0.25">
      <c r="A223" s="24">
        <v>75</v>
      </c>
      <c r="B223" s="25">
        <v>0</v>
      </c>
      <c r="C223" s="25">
        <v>1</v>
      </c>
      <c r="D223" s="26">
        <v>2</v>
      </c>
      <c r="E223" s="44">
        <f>CUESTIONARIO!I307</f>
        <v>0</v>
      </c>
    </row>
    <row r="224" spans="1:5" x14ac:dyDescent="0.25">
      <c r="A224" s="24">
        <v>99</v>
      </c>
      <c r="B224" s="25">
        <v>2</v>
      </c>
      <c r="C224" s="25">
        <v>1</v>
      </c>
      <c r="D224" s="26">
        <v>0</v>
      </c>
      <c r="E224" s="44">
        <f>CUESTIONARIO!I403</f>
        <v>0</v>
      </c>
    </row>
    <row r="225" spans="1:5" x14ac:dyDescent="0.25">
      <c r="A225" s="24">
        <v>100</v>
      </c>
      <c r="B225" s="25">
        <v>0</v>
      </c>
      <c r="C225" s="25">
        <v>1</v>
      </c>
      <c r="D225" s="26">
        <v>2</v>
      </c>
      <c r="E225" s="44">
        <f>CUESTIONARIO!I407</f>
        <v>0</v>
      </c>
    </row>
    <row r="226" spans="1:5" x14ac:dyDescent="0.25">
      <c r="A226" s="24">
        <v>124</v>
      </c>
      <c r="B226" s="25">
        <v>2</v>
      </c>
      <c r="C226" s="25">
        <v>1</v>
      </c>
      <c r="D226" s="26">
        <v>0</v>
      </c>
      <c r="E226" s="44">
        <f>CUESTIONARIO!I503</f>
        <v>0</v>
      </c>
    </row>
    <row r="227" spans="1:5" x14ac:dyDescent="0.25">
      <c r="A227" s="24">
        <v>125</v>
      </c>
      <c r="B227" s="25">
        <v>0</v>
      </c>
      <c r="C227" s="25">
        <v>1</v>
      </c>
      <c r="D227" s="26">
        <v>2</v>
      </c>
      <c r="E227" s="44">
        <f>CUESTIONARIO!I507</f>
        <v>0</v>
      </c>
    </row>
    <row r="228" spans="1:5" x14ac:dyDescent="0.25">
      <c r="A228" s="24">
        <v>149</v>
      </c>
      <c r="B228" s="25">
        <v>2</v>
      </c>
      <c r="C228" s="25">
        <v>1</v>
      </c>
      <c r="D228" s="26">
        <v>0</v>
      </c>
      <c r="E228" s="44">
        <f>CUESTIONARIO!I603</f>
        <v>0</v>
      </c>
    </row>
    <row r="229" spans="1:5" x14ac:dyDescent="0.25">
      <c r="A229" s="24">
        <v>150</v>
      </c>
      <c r="B229" s="25">
        <v>0</v>
      </c>
      <c r="C229" s="25">
        <v>1</v>
      </c>
      <c r="D229" s="26">
        <v>2</v>
      </c>
      <c r="E229" s="44">
        <f>CUESTIONARIO!I607</f>
        <v>0</v>
      </c>
    </row>
    <row r="230" spans="1:5" x14ac:dyDescent="0.25">
      <c r="A230" s="24">
        <v>174</v>
      </c>
      <c r="B230" s="25">
        <v>2</v>
      </c>
      <c r="C230" s="25">
        <v>1</v>
      </c>
      <c r="D230" s="26">
        <v>0</v>
      </c>
      <c r="E230" s="44">
        <f>CUESTIONARIO!I703</f>
        <v>0</v>
      </c>
    </row>
    <row r="231" spans="1:5" x14ac:dyDescent="0.25">
      <c r="A231" s="24">
        <v>175</v>
      </c>
      <c r="B231" s="25">
        <v>0</v>
      </c>
      <c r="C231" s="25">
        <v>1</v>
      </c>
      <c r="D231" s="26">
        <v>2</v>
      </c>
      <c r="E231" s="44">
        <f>CUESTIONARIO!I707</f>
        <v>0</v>
      </c>
    </row>
    <row r="232" spans="1:5" ht="15.75" thickBot="1" x14ac:dyDescent="0.3">
      <c r="A232" s="28">
        <v>25</v>
      </c>
      <c r="B232" s="29">
        <v>0</v>
      </c>
      <c r="C232" s="29">
        <v>1</v>
      </c>
      <c r="D232" s="30">
        <v>2</v>
      </c>
      <c r="E232" s="45">
        <f>CUESTIONARIO!I107</f>
        <v>0</v>
      </c>
    </row>
  </sheetData>
  <sheetProtection algorithmName="SHA-512" hashValue="Z3J4kTB2T5KZOZqGydxk/cFI58iIlRTUpRHyqiI/Bjv3VfBVnOqOjrcMf0dwwPZU8CNZ9tPr3d0siioWv0sB2g==" saltValue="AqGi0bJ08svsaGYz2IJhHw==" spinCount="100000" sheet="1" objects="1" scenarios="1"/>
  <mergeCells count="239">
    <mergeCell ref="S51:S53"/>
    <mergeCell ref="T51:T53"/>
    <mergeCell ref="U51:U53"/>
    <mergeCell ref="V51:V53"/>
    <mergeCell ref="W51:W53"/>
    <mergeCell ref="R42:R44"/>
    <mergeCell ref="R45:R47"/>
    <mergeCell ref="R48:R50"/>
    <mergeCell ref="M51:M53"/>
    <mergeCell ref="N51:N53"/>
    <mergeCell ref="O51:O53"/>
    <mergeCell ref="P51:P53"/>
    <mergeCell ref="Q51:Q53"/>
    <mergeCell ref="R51:R53"/>
    <mergeCell ref="W42:W44"/>
    <mergeCell ref="W45:W47"/>
    <mergeCell ref="W48:W50"/>
    <mergeCell ref="V42:V44"/>
    <mergeCell ref="V45:V47"/>
    <mergeCell ref="V48:V50"/>
    <mergeCell ref="O42:O44"/>
    <mergeCell ref="O45:O47"/>
    <mergeCell ref="O48:O50"/>
    <mergeCell ref="R39:R41"/>
    <mergeCell ref="M1:W2"/>
    <mergeCell ref="X1:Y2"/>
    <mergeCell ref="K1:L2"/>
    <mergeCell ref="R3:R5"/>
    <mergeCell ref="R6:R8"/>
    <mergeCell ref="R9:R11"/>
    <mergeCell ref="R12:R14"/>
    <mergeCell ref="V30:V32"/>
    <mergeCell ref="V33:V35"/>
    <mergeCell ref="V36:V38"/>
    <mergeCell ref="V39:V41"/>
    <mergeCell ref="W3:W5"/>
    <mergeCell ref="W6:W8"/>
    <mergeCell ref="W9:W11"/>
    <mergeCell ref="W12:W14"/>
    <mergeCell ref="W15:W17"/>
    <mergeCell ref="W18:W20"/>
    <mergeCell ref="W21:W23"/>
    <mergeCell ref="W24:W26"/>
    <mergeCell ref="W27:W29"/>
    <mergeCell ref="W30:W32"/>
    <mergeCell ref="W33:W35"/>
    <mergeCell ref="W36:W38"/>
    <mergeCell ref="W39:W41"/>
    <mergeCell ref="V3:V5"/>
    <mergeCell ref="V6:V8"/>
    <mergeCell ref="V9:V11"/>
    <mergeCell ref="V12:V14"/>
    <mergeCell ref="V15:V17"/>
    <mergeCell ref="V18:V20"/>
    <mergeCell ref="V21:V23"/>
    <mergeCell ref="V24:V26"/>
    <mergeCell ref="V27:V29"/>
    <mergeCell ref="T39:T41"/>
    <mergeCell ref="T42:T44"/>
    <mergeCell ref="T45:T47"/>
    <mergeCell ref="T48:T50"/>
    <mergeCell ref="U3:U5"/>
    <mergeCell ref="U6:U8"/>
    <mergeCell ref="U9:U11"/>
    <mergeCell ref="U12:U14"/>
    <mergeCell ref="U15:U17"/>
    <mergeCell ref="U18:U20"/>
    <mergeCell ref="U21:U23"/>
    <mergeCell ref="U24:U26"/>
    <mergeCell ref="U27:U29"/>
    <mergeCell ref="U30:U32"/>
    <mergeCell ref="U33:U35"/>
    <mergeCell ref="U36:U38"/>
    <mergeCell ref="U39:U41"/>
    <mergeCell ref="U42:U44"/>
    <mergeCell ref="U45:U47"/>
    <mergeCell ref="U48:U50"/>
    <mergeCell ref="T3:T5"/>
    <mergeCell ref="T6:T8"/>
    <mergeCell ref="T9:T11"/>
    <mergeCell ref="T12:T14"/>
    <mergeCell ref="T15:T17"/>
    <mergeCell ref="T18:T20"/>
    <mergeCell ref="T21:T23"/>
    <mergeCell ref="T24:T26"/>
    <mergeCell ref="T27:T29"/>
    <mergeCell ref="Q36:Q38"/>
    <mergeCell ref="Q12:Q14"/>
    <mergeCell ref="Q15:Q17"/>
    <mergeCell ref="Q18:Q20"/>
    <mergeCell ref="Q21:Q23"/>
    <mergeCell ref="Q24:Q26"/>
    <mergeCell ref="Q27:Q29"/>
    <mergeCell ref="Q30:Q32"/>
    <mergeCell ref="Q33:Q35"/>
    <mergeCell ref="T30:T32"/>
    <mergeCell ref="T33:T35"/>
    <mergeCell ref="T36:T38"/>
    <mergeCell ref="R24:R26"/>
    <mergeCell ref="R27:R29"/>
    <mergeCell ref="R30:R32"/>
    <mergeCell ref="R33:R35"/>
    <mergeCell ref="R36:R38"/>
    <mergeCell ref="Q39:Q41"/>
    <mergeCell ref="Q42:Q44"/>
    <mergeCell ref="Q45:Q47"/>
    <mergeCell ref="Q48:Q50"/>
    <mergeCell ref="S3:S5"/>
    <mergeCell ref="S6:S8"/>
    <mergeCell ref="S9:S11"/>
    <mergeCell ref="S12:S14"/>
    <mergeCell ref="S15:S17"/>
    <mergeCell ref="S18:S20"/>
    <mergeCell ref="S21:S23"/>
    <mergeCell ref="S24:S26"/>
    <mergeCell ref="S27:S29"/>
    <mergeCell ref="S30:S32"/>
    <mergeCell ref="S33:S35"/>
    <mergeCell ref="S36:S38"/>
    <mergeCell ref="S39:S41"/>
    <mergeCell ref="S42:S44"/>
    <mergeCell ref="S45:S47"/>
    <mergeCell ref="S48:S50"/>
    <mergeCell ref="R15:R17"/>
    <mergeCell ref="R18:R20"/>
    <mergeCell ref="R21:R23"/>
    <mergeCell ref="Q9:Q11"/>
    <mergeCell ref="P3:P5"/>
    <mergeCell ref="P6:P8"/>
    <mergeCell ref="P9:P11"/>
    <mergeCell ref="P12:P14"/>
    <mergeCell ref="P15:P17"/>
    <mergeCell ref="P18:P20"/>
    <mergeCell ref="P21:P23"/>
    <mergeCell ref="P24:P26"/>
    <mergeCell ref="P27:P29"/>
    <mergeCell ref="P30:P32"/>
    <mergeCell ref="P33:P35"/>
    <mergeCell ref="P36:P38"/>
    <mergeCell ref="P39:P41"/>
    <mergeCell ref="P42:P44"/>
    <mergeCell ref="P45:P47"/>
    <mergeCell ref="P48:P50"/>
    <mergeCell ref="M45:M47"/>
    <mergeCell ref="M48:M50"/>
    <mergeCell ref="N30:N32"/>
    <mergeCell ref="N33:N35"/>
    <mergeCell ref="N36:N38"/>
    <mergeCell ref="N39:N41"/>
    <mergeCell ref="N42:N44"/>
    <mergeCell ref="N45:N47"/>
    <mergeCell ref="N48:N50"/>
    <mergeCell ref="N3:N5"/>
    <mergeCell ref="N6:N8"/>
    <mergeCell ref="N9:N11"/>
    <mergeCell ref="N12:N14"/>
    <mergeCell ref="N15:N17"/>
    <mergeCell ref="N18:N20"/>
    <mergeCell ref="N21:N23"/>
    <mergeCell ref="N24:N26"/>
    <mergeCell ref="N27:N29"/>
    <mergeCell ref="X48:Y50"/>
    <mergeCell ref="M3:M5"/>
    <mergeCell ref="M6:M8"/>
    <mergeCell ref="M9:M11"/>
    <mergeCell ref="M12:M14"/>
    <mergeCell ref="M15:M17"/>
    <mergeCell ref="M18:M20"/>
    <mergeCell ref="M21:M23"/>
    <mergeCell ref="M24:M26"/>
    <mergeCell ref="M27:M29"/>
    <mergeCell ref="M30:M32"/>
    <mergeCell ref="M33:M35"/>
    <mergeCell ref="M36:M38"/>
    <mergeCell ref="M39:M41"/>
    <mergeCell ref="M42:M44"/>
    <mergeCell ref="X33:Y35"/>
    <mergeCell ref="X36:Y38"/>
    <mergeCell ref="X39:Y41"/>
    <mergeCell ref="X42:Y44"/>
    <mergeCell ref="X45:Y47"/>
    <mergeCell ref="X18:Y20"/>
    <mergeCell ref="X21:Y23"/>
    <mergeCell ref="X24:Y26"/>
    <mergeCell ref="X27:Y29"/>
    <mergeCell ref="X30:Y32"/>
    <mergeCell ref="X3:Y5"/>
    <mergeCell ref="X6:Y8"/>
    <mergeCell ref="X9:Y11"/>
    <mergeCell ref="X12:Y14"/>
    <mergeCell ref="X15:Y17"/>
    <mergeCell ref="K33:L35"/>
    <mergeCell ref="K36:L38"/>
    <mergeCell ref="K39:L41"/>
    <mergeCell ref="O3:O5"/>
    <mergeCell ref="O6:O8"/>
    <mergeCell ref="O9:O11"/>
    <mergeCell ref="O12:O14"/>
    <mergeCell ref="O15:O17"/>
    <mergeCell ref="O18:O20"/>
    <mergeCell ref="O21:O23"/>
    <mergeCell ref="O24:O26"/>
    <mergeCell ref="O27:O29"/>
    <mergeCell ref="O30:O32"/>
    <mergeCell ref="O33:O35"/>
    <mergeCell ref="O36:O38"/>
    <mergeCell ref="O39:O41"/>
    <mergeCell ref="Q3:Q5"/>
    <mergeCell ref="Q6:Q8"/>
    <mergeCell ref="K42:L44"/>
    <mergeCell ref="K45:L47"/>
    <mergeCell ref="K48:L50"/>
    <mergeCell ref="K18:L20"/>
    <mergeCell ref="K21:L23"/>
    <mergeCell ref="K24:L26"/>
    <mergeCell ref="K27:L29"/>
    <mergeCell ref="K30:L32"/>
    <mergeCell ref="K3:L5"/>
    <mergeCell ref="K6:L8"/>
    <mergeCell ref="K9:L11"/>
    <mergeCell ref="K12:L14"/>
    <mergeCell ref="K15:L17"/>
    <mergeCell ref="G1:I1"/>
    <mergeCell ref="A146:E146"/>
    <mergeCell ref="A159:E159"/>
    <mergeCell ref="A172:E172"/>
    <mergeCell ref="A187:E187"/>
    <mergeCell ref="A203:E203"/>
    <mergeCell ref="A217:E217"/>
    <mergeCell ref="A1:E1"/>
    <mergeCell ref="A62:E62"/>
    <mergeCell ref="A46:E46"/>
    <mergeCell ref="A30:E30"/>
    <mergeCell ref="A14:E14"/>
    <mergeCell ref="A75:E75"/>
    <mergeCell ref="A88:E88"/>
    <mergeCell ref="A101:E101"/>
    <mergeCell ref="A114:E114"/>
    <mergeCell ref="A130:E130"/>
  </mergeCells>
  <conditionalFormatting sqref="M3:Q50">
    <cfRule type="containsText" dxfId="3" priority="2" operator="containsText" text="X">
      <formula>NOT(ISERROR(SEARCH("X",M3)))</formula>
    </cfRule>
  </conditionalFormatting>
  <conditionalFormatting sqref="S3:W50">
    <cfRule type="containsText" dxfId="2" priority="1" operator="containsText" text="X">
      <formula>NOT(ISERROR(SEARCH("X",S3)))</formula>
    </cfRule>
  </conditionalFormatting>
  <pageMargins left="0.7" right="0.7" top="0.75" bottom="0.75" header="0.3" footer="0.3"/>
  <ignoredErrors>
    <ignoredError sqref="H3:H18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Y232"/>
  <sheetViews>
    <sheetView showGridLines="0" topLeftCell="A37" workbookViewId="0">
      <selection activeCell="I11" sqref="I11"/>
    </sheetView>
  </sheetViews>
  <sheetFormatPr baseColWidth="10" defaultColWidth="11.42578125" defaultRowHeight="15" x14ac:dyDescent="0.25"/>
  <cols>
    <col min="1" max="1" width="10.85546875" style="31" bestFit="1" customWidth="1"/>
    <col min="2" max="4" width="3.7109375" style="32" customWidth="1"/>
    <col min="5" max="5" width="9" style="31" bestFit="1" customWidth="1"/>
    <col min="6" max="6" width="3.7109375" style="14" customWidth="1"/>
    <col min="7" max="7" width="8" style="14" bestFit="1" customWidth="1"/>
    <col min="8" max="8" width="6.5703125" style="32" bestFit="1" customWidth="1"/>
    <col min="9" max="9" width="10.42578125" style="32" bestFit="1" customWidth="1"/>
    <col min="10" max="12" width="11.42578125" style="14"/>
    <col min="13" max="16" width="5.7109375" style="14" customWidth="1"/>
    <col min="17" max="17" width="6.140625" style="14" bestFit="1" customWidth="1"/>
    <col min="18" max="18" width="7.85546875" style="14" bestFit="1" customWidth="1"/>
    <col min="19" max="19" width="6.140625" style="14" bestFit="1" customWidth="1"/>
    <col min="20" max="22" width="5.7109375" style="14" customWidth="1"/>
    <col min="23" max="23" width="7" style="14" bestFit="1" customWidth="1"/>
    <col min="24" max="16384" width="11.42578125" style="14"/>
  </cols>
  <sheetData>
    <row r="1" spans="1:25" ht="15.75" thickBot="1" x14ac:dyDescent="0.3">
      <c r="A1" s="56" t="s">
        <v>0</v>
      </c>
      <c r="B1" s="57"/>
      <c r="C1" s="57"/>
      <c r="D1" s="57"/>
      <c r="E1" s="58"/>
      <c r="G1" s="56" t="s">
        <v>262</v>
      </c>
      <c r="H1" s="57"/>
      <c r="I1" s="58"/>
      <c r="K1" s="89" t="s">
        <v>71</v>
      </c>
      <c r="L1" s="90"/>
      <c r="M1" s="83" t="s">
        <v>38</v>
      </c>
      <c r="N1" s="84"/>
      <c r="O1" s="84"/>
      <c r="P1" s="84"/>
      <c r="Q1" s="84"/>
      <c r="R1" s="84"/>
      <c r="S1" s="84"/>
      <c r="T1" s="84"/>
      <c r="U1" s="84"/>
      <c r="V1" s="84"/>
      <c r="W1" s="85"/>
      <c r="X1" s="89" t="s">
        <v>72</v>
      </c>
      <c r="Y1" s="90"/>
    </row>
    <row r="2" spans="1:25" ht="15.75" customHeight="1" thickBot="1" x14ac:dyDescent="0.3">
      <c r="A2" s="15" t="s">
        <v>15</v>
      </c>
      <c r="B2" s="16" t="s">
        <v>1</v>
      </c>
      <c r="C2" s="17" t="s">
        <v>2</v>
      </c>
      <c r="D2" s="16" t="s">
        <v>3</v>
      </c>
      <c r="E2" s="18" t="s">
        <v>20</v>
      </c>
      <c r="G2" s="19" t="s">
        <v>34</v>
      </c>
      <c r="H2" s="19" t="s">
        <v>35</v>
      </c>
      <c r="I2" s="19" t="s">
        <v>36</v>
      </c>
      <c r="K2" s="91"/>
      <c r="L2" s="92"/>
      <c r="M2" s="86"/>
      <c r="N2" s="87"/>
      <c r="O2" s="87"/>
      <c r="P2" s="87"/>
      <c r="Q2" s="87"/>
      <c r="R2" s="87"/>
      <c r="S2" s="87"/>
      <c r="T2" s="87"/>
      <c r="U2" s="87"/>
      <c r="V2" s="87"/>
      <c r="W2" s="88"/>
      <c r="X2" s="91"/>
      <c r="Y2" s="92"/>
    </row>
    <row r="3" spans="1:25" ht="15" customHeight="1" x14ac:dyDescent="0.25">
      <c r="A3" s="20">
        <v>3</v>
      </c>
      <c r="B3" s="21">
        <v>2</v>
      </c>
      <c r="C3" s="21">
        <v>1</v>
      </c>
      <c r="D3" s="22">
        <v>0</v>
      </c>
      <c r="E3" s="40">
        <f>CUESTIONARIO!I19</f>
        <v>0</v>
      </c>
      <c r="G3" s="23" t="s">
        <v>1</v>
      </c>
      <c r="H3" s="40">
        <f>SUM(E3:E12)</f>
        <v>0</v>
      </c>
      <c r="I3" s="41">
        <f>IF(AND(H3&gt;=0,H3&lt;=5),1,IF(H3=6,2,IF(AND(H3&gt;=7,H3&lt;=8),3,IF(H3=9,4,IF(AND(H3&gt;=10,H3&lt;=11),5,IF(H3=12,6,IF(H3=13,7,IF(H3=14,8,IF(H3=15,9,IF(AND(H3&gt;=16,H3&lt;=20),10,""))))))))))</f>
        <v>1</v>
      </c>
      <c r="K3" s="62" t="s">
        <v>41</v>
      </c>
      <c r="L3" s="63"/>
      <c r="M3" s="74" t="str">
        <f>IF($I$3=1,"X",".")</f>
        <v>X</v>
      </c>
      <c r="N3" s="74" t="str">
        <f>IF($I$3=2,"X",".")</f>
        <v>.</v>
      </c>
      <c r="O3" s="74" t="str">
        <f>IF($I$3=3,"X",".")</f>
        <v>.</v>
      </c>
      <c r="P3" s="74" t="str">
        <f>IF($I$3=4,"X",".")</f>
        <v>.</v>
      </c>
      <c r="Q3" s="74" t="str">
        <f>IF($I$3=5,"X",".")</f>
        <v>.</v>
      </c>
      <c r="R3" s="82" t="s">
        <v>1</v>
      </c>
      <c r="S3" s="79" t="str">
        <f>IF($I$3=6,"X",".")</f>
        <v>.</v>
      </c>
      <c r="T3" s="79" t="str">
        <f>IF($I$3=7,"X",".")</f>
        <v>.</v>
      </c>
      <c r="U3" s="79" t="str">
        <f>IF($I$3=8,"X",".")</f>
        <v>.</v>
      </c>
      <c r="V3" s="79" t="str">
        <f>IF($I$3=9,"X",".")</f>
        <v>.</v>
      </c>
      <c r="W3" s="79" t="str">
        <f>IF($I$3=10,"X",".")</f>
        <v>.</v>
      </c>
      <c r="X3" s="62" t="s">
        <v>55</v>
      </c>
      <c r="Y3" s="63"/>
    </row>
    <row r="4" spans="1:25" ht="15" customHeight="1" x14ac:dyDescent="0.25">
      <c r="A4" s="24">
        <v>26</v>
      </c>
      <c r="B4" s="25">
        <v>0</v>
      </c>
      <c r="C4" s="25">
        <v>1</v>
      </c>
      <c r="D4" s="26">
        <v>2</v>
      </c>
      <c r="E4" s="44">
        <f>CUESTIONARIO!I111</f>
        <v>0</v>
      </c>
      <c r="G4" s="27" t="s">
        <v>2</v>
      </c>
      <c r="H4" s="44">
        <f>SUM(E116:E128)</f>
        <v>0</v>
      </c>
      <c r="I4" s="42">
        <f>IF(AND(H4&gt;=0,H4&lt;=2),1,IF(H4=3,2,IF(H4=4,3,IF(H4=5,4,IF(H4=6,5,IF(H4=7,6,IF(H4=8,7,IF(H4=9,8,IF(H4=10,9,IF(AND(H4&gt;=10,H4&lt;=13),10,""))))))))))</f>
        <v>1</v>
      </c>
      <c r="K4" s="64"/>
      <c r="L4" s="65"/>
      <c r="M4" s="74"/>
      <c r="N4" s="74"/>
      <c r="O4" s="74"/>
      <c r="P4" s="74"/>
      <c r="Q4" s="74"/>
      <c r="R4" s="82"/>
      <c r="S4" s="79"/>
      <c r="T4" s="79"/>
      <c r="U4" s="79"/>
      <c r="V4" s="79"/>
      <c r="W4" s="79"/>
      <c r="X4" s="64"/>
      <c r="Y4" s="65"/>
    </row>
    <row r="5" spans="1:25" ht="15" customHeight="1" thickBot="1" x14ac:dyDescent="0.3">
      <c r="A5" s="24">
        <v>27</v>
      </c>
      <c r="B5" s="25">
        <v>0</v>
      </c>
      <c r="C5" s="25">
        <v>1</v>
      </c>
      <c r="D5" s="26">
        <v>2</v>
      </c>
      <c r="E5" s="44">
        <f>CUESTIONARIO!I115</f>
        <v>0</v>
      </c>
      <c r="G5" s="27" t="s">
        <v>3</v>
      </c>
      <c r="H5" s="44">
        <f>SUM(E16:E28)</f>
        <v>0</v>
      </c>
      <c r="I5" s="42">
        <f>IF(AND(H5&gt;=0,H5&lt;=12),1,IF(H5=13,2,IF(H5=14,3,IF(AND(H5&gt;=15,H5&lt;=17),4,IF(AND(H5&gt;=18,H5&lt;=19),5,IF(H5=20,6,IF(AND(H5&gt;=21,H5&lt;=22),7,IF(H5=23,8,IF(AND(H5&gt;=24,H5&lt;=25),9,IF(H5=26,10,""))))))))))</f>
        <v>1</v>
      </c>
      <c r="K5" s="66"/>
      <c r="L5" s="67"/>
      <c r="M5" s="74"/>
      <c r="N5" s="74"/>
      <c r="O5" s="74"/>
      <c r="P5" s="74"/>
      <c r="Q5" s="74"/>
      <c r="R5" s="82"/>
      <c r="S5" s="79"/>
      <c r="T5" s="79"/>
      <c r="U5" s="79"/>
      <c r="V5" s="79"/>
      <c r="W5" s="79"/>
      <c r="X5" s="66"/>
      <c r="Y5" s="67"/>
    </row>
    <row r="6" spans="1:25" ht="15" customHeight="1" x14ac:dyDescent="0.25">
      <c r="A6" s="24">
        <v>51</v>
      </c>
      <c r="B6" s="25">
        <v>0</v>
      </c>
      <c r="C6" s="25">
        <v>1</v>
      </c>
      <c r="D6" s="26">
        <v>2</v>
      </c>
      <c r="E6" s="44">
        <f>CUESTIONARIO!I211</f>
        <v>0</v>
      </c>
      <c r="G6" s="27" t="s">
        <v>21</v>
      </c>
      <c r="H6" s="44">
        <f>SUM(E132:E144)</f>
        <v>0</v>
      </c>
      <c r="I6" s="42">
        <f>IF(AND(H6&gt;=0,H6&lt;=5),1,IF(H6=5,2,IF(H6=6,3,IF(AND(H6&gt;=7,H6&lt;=8),4,IF(AND(H6&gt;=9,H6&lt;=10),5,IF(AND(H6&gt;=11,H6&lt;=12),6,IF(AND(H6&gt;=13,H6&lt;=14),7,IF(AND(H6&gt;=15,H6&gt;=16),8,IF(H6=17,9,IF(AND(H6&gt;=18,H6&lt;=26),10,""))))))))))</f>
        <v>1</v>
      </c>
      <c r="K6" s="62" t="s">
        <v>40</v>
      </c>
      <c r="L6" s="63"/>
      <c r="M6" s="74" t="str">
        <f>IF($I$4=1,"X",".")</f>
        <v>X</v>
      </c>
      <c r="N6" s="74" t="str">
        <f>IF($I$4=2,"X",".")</f>
        <v>.</v>
      </c>
      <c r="O6" s="74" t="str">
        <f>IF($I$4=3,"X",".")</f>
        <v>.</v>
      </c>
      <c r="P6" s="74" t="str">
        <f>IF($I$4=4,"X",".")</f>
        <v>.</v>
      </c>
      <c r="Q6" s="74" t="str">
        <f>IF($I$4=5,"X",".")</f>
        <v>.</v>
      </c>
      <c r="R6" s="82" t="s">
        <v>2</v>
      </c>
      <c r="S6" s="79" t="str">
        <f>IF($I$4=6,"X",".")</f>
        <v>.</v>
      </c>
      <c r="T6" s="79" t="str">
        <f>IF($I$4=7,"X",".")</f>
        <v>.</v>
      </c>
      <c r="U6" s="79" t="str">
        <f>IF($I$4=8,"X",".")</f>
        <v>.</v>
      </c>
      <c r="V6" s="79" t="str">
        <f>IF($I$4=9,"X",".")</f>
        <v>.</v>
      </c>
      <c r="W6" s="79" t="str">
        <f>IF($I$4=10,"X",".")</f>
        <v>.</v>
      </c>
      <c r="X6" s="62" t="s">
        <v>56</v>
      </c>
      <c r="Y6" s="63"/>
    </row>
    <row r="7" spans="1:25" ht="15" customHeight="1" x14ac:dyDescent="0.25">
      <c r="A7" s="24">
        <v>52</v>
      </c>
      <c r="B7" s="25">
        <v>2</v>
      </c>
      <c r="C7" s="25">
        <v>1</v>
      </c>
      <c r="D7" s="26">
        <v>0</v>
      </c>
      <c r="E7" s="44">
        <f>CUESTIONARIO!I215</f>
        <v>0</v>
      </c>
      <c r="G7" s="27" t="s">
        <v>22</v>
      </c>
      <c r="H7" s="44">
        <f>SUM(E32:E44)</f>
        <v>0</v>
      </c>
      <c r="I7" s="42">
        <f>IF(AND(H7&gt;=0,H7&lt;=3),1,IF(AND(H7&gt;=4,H7&lt;=6),2,IF(AND(H7&gt;=7,H7&lt;=8),3,IF(AND(H7&gt;=9,H7&lt;=10),4,IF(AND(H7&gt;=11,H7&lt;=12),5,IF(AND(H7&gt;=13,H7&lt;=14),6,IF(AND(H7&gt;=15,H7&lt;=16),7,IF(H7=17,8,IF(AND(H7&gt;=18,H7&lt;=21),9,IF(AND(H7&gt;=22,H7&lt;=26),10,""))))))))))</f>
        <v>1</v>
      </c>
      <c r="K7" s="64"/>
      <c r="L7" s="65"/>
      <c r="M7" s="74"/>
      <c r="N7" s="74"/>
      <c r="O7" s="74"/>
      <c r="P7" s="74"/>
      <c r="Q7" s="74"/>
      <c r="R7" s="82"/>
      <c r="S7" s="79"/>
      <c r="T7" s="79"/>
      <c r="U7" s="79"/>
      <c r="V7" s="79"/>
      <c r="W7" s="79"/>
      <c r="X7" s="64"/>
      <c r="Y7" s="65"/>
    </row>
    <row r="8" spans="1:25" ht="15" customHeight="1" thickBot="1" x14ac:dyDescent="0.3">
      <c r="A8" s="24">
        <v>101</v>
      </c>
      <c r="B8" s="25">
        <v>2</v>
      </c>
      <c r="C8" s="25">
        <v>1</v>
      </c>
      <c r="D8" s="26">
        <v>0</v>
      </c>
      <c r="E8" s="44">
        <f>CUESTIONARIO!I411</f>
        <v>0</v>
      </c>
      <c r="G8" s="27" t="s">
        <v>23</v>
      </c>
      <c r="H8" s="44">
        <f>SUM(E148:E157)</f>
        <v>0</v>
      </c>
      <c r="I8" s="42">
        <f>IF(AND(H8&gt;=0,H8&lt;=7),1,IF(H8=8,2,IF(H8=9,3,IF(AND(H8&gt;=10,H8&lt;=11),4,IF(AND(H8&gt;=12,H8&lt;=13),5,IF(AND(H8&gt;=14,H8&lt;=15),6,IF(H8=16,7,IF(H8=17,8,IF(H8=18,9,IF(AND(H8&gt;=19,H8&lt;=20),10,""))))))))))</f>
        <v>1</v>
      </c>
      <c r="K8" s="66"/>
      <c r="L8" s="67"/>
      <c r="M8" s="74"/>
      <c r="N8" s="74"/>
      <c r="O8" s="74"/>
      <c r="P8" s="74"/>
      <c r="Q8" s="74"/>
      <c r="R8" s="82"/>
      <c r="S8" s="79"/>
      <c r="T8" s="79"/>
      <c r="U8" s="79"/>
      <c r="V8" s="79"/>
      <c r="W8" s="79"/>
      <c r="X8" s="66"/>
      <c r="Y8" s="67"/>
    </row>
    <row r="9" spans="1:25" ht="15" customHeight="1" x14ac:dyDescent="0.25">
      <c r="A9" s="24">
        <v>126</v>
      </c>
      <c r="B9" s="25">
        <v>2</v>
      </c>
      <c r="C9" s="25">
        <v>1</v>
      </c>
      <c r="D9" s="26">
        <v>0</v>
      </c>
      <c r="E9" s="44">
        <f>CUESTIONARIO!I511</f>
        <v>0</v>
      </c>
      <c r="G9" s="27" t="s">
        <v>24</v>
      </c>
      <c r="H9" s="44">
        <f>SUM(E48:E60)</f>
        <v>0</v>
      </c>
      <c r="I9" s="42">
        <f>IF(AND(H9&gt;=0,H9&lt;=5),1,IF(AND(H9&gt;=6,H9&lt;=7),2,IF(AND(H9&gt;=8,H9&lt;=9),3,IF(AND(H9&gt;=10,H9&lt;=12),4,IF(AND(H9&gt;=13,H9&lt;=14),5,IF(AND(H9&gt;=15,H9&lt;=16),6,IF(AND(H9&gt;=17,H9&lt;=20),7,IF(AND(H9&gt;=21,H9&gt;=223),8,IF(H9=24,9,IF(AND(H9&gt;=25,H9&lt;=26),10,""))))))))))</f>
        <v>1</v>
      </c>
      <c r="K9" s="68" t="s">
        <v>39</v>
      </c>
      <c r="L9" s="69"/>
      <c r="M9" s="74" t="str">
        <f>IF($I$5=1,"X",".")</f>
        <v>X</v>
      </c>
      <c r="N9" s="74" t="str">
        <f>IF($I$5=2,"X",".")</f>
        <v>.</v>
      </c>
      <c r="O9" s="74" t="str">
        <f>IF($I$5=3,"X",".")</f>
        <v>.</v>
      </c>
      <c r="P9" s="74" t="str">
        <f>IF($I$5=4,"X",".")</f>
        <v>.</v>
      </c>
      <c r="Q9" s="74" t="str">
        <f>IF($I$5=5,"X",".")</f>
        <v>.</v>
      </c>
      <c r="R9" s="82" t="s">
        <v>3</v>
      </c>
      <c r="S9" s="79" t="str">
        <f>IF($I$5=6,"X",".")</f>
        <v>.</v>
      </c>
      <c r="T9" s="79" t="str">
        <f>IF($I$5=7,"X",".")</f>
        <v>.</v>
      </c>
      <c r="U9" s="79" t="str">
        <f>IF($I$5=8,"X",".")</f>
        <v>.</v>
      </c>
      <c r="V9" s="79" t="str">
        <f>IF($I$5=9,"X",".")</f>
        <v>.</v>
      </c>
      <c r="W9" s="79" t="str">
        <f>IF($I$5=10,"X",".")</f>
        <v>.</v>
      </c>
      <c r="X9" s="68" t="s">
        <v>57</v>
      </c>
      <c r="Y9" s="69"/>
    </row>
    <row r="10" spans="1:25" ht="15" customHeight="1" x14ac:dyDescent="0.25">
      <c r="A10" s="24">
        <v>151</v>
      </c>
      <c r="B10" s="25">
        <v>0</v>
      </c>
      <c r="C10" s="25">
        <v>1</v>
      </c>
      <c r="D10" s="26">
        <v>2</v>
      </c>
      <c r="E10" s="44">
        <f>CUESTIONARIO!I611</f>
        <v>0</v>
      </c>
      <c r="G10" s="27" t="s">
        <v>25</v>
      </c>
      <c r="H10" s="44">
        <f>SUM(E161:E170)</f>
        <v>0</v>
      </c>
      <c r="I10" s="42">
        <f>IF(AND(H10&gt;=0,H10&lt;=3),1,IF(AND(H10&gt;=4,H10&lt;=5),2,IF(H10=6,3,IF(H10=7,4,IF(AND(H10&gt;=8,H10&lt;=10),5,IF(AND(H10&gt;=11,H10&lt;=12),6,IF(AND(H10&gt;=13,H10&lt;=14),7,IF(H10=15,8,IF(H10=16,9,IF(AND(H10&gt;=17,H10&lt;=20),10,""))))))))))</f>
        <v>1</v>
      </c>
      <c r="K10" s="70"/>
      <c r="L10" s="71"/>
      <c r="M10" s="74"/>
      <c r="N10" s="74"/>
      <c r="O10" s="74"/>
      <c r="P10" s="74"/>
      <c r="Q10" s="74"/>
      <c r="R10" s="82"/>
      <c r="S10" s="79"/>
      <c r="T10" s="79"/>
      <c r="U10" s="79"/>
      <c r="V10" s="79"/>
      <c r="W10" s="79"/>
      <c r="X10" s="70"/>
      <c r="Y10" s="71"/>
    </row>
    <row r="11" spans="1:25" ht="15" customHeight="1" thickBot="1" x14ac:dyDescent="0.3">
      <c r="A11" s="24">
        <v>176</v>
      </c>
      <c r="B11" s="25">
        <v>2</v>
      </c>
      <c r="C11" s="25">
        <v>1</v>
      </c>
      <c r="D11" s="26">
        <v>0</v>
      </c>
      <c r="E11" s="44">
        <f>CUESTIONARIO!I711</f>
        <v>0</v>
      </c>
      <c r="G11" s="27" t="s">
        <v>26</v>
      </c>
      <c r="H11" s="44">
        <f>SUM(E64:E73)</f>
        <v>0</v>
      </c>
      <c r="I11" s="42">
        <f>IF(AND(H11&gt;=0,H11&lt;=4),1,IF(H11=5,2,IF(H11=6,3,IF(H11=7,4,IF(H11=8,5,IF(AND(H11&gt;=9,H11&lt;=10),6,IF(H11=11,7,IF(AND(H11&gt;=12,H11&gt;=13),8,IF(H11=14,9,IF(AND(H11&gt;=15,H11&lt;=20),10,""))))))))))</f>
        <v>1</v>
      </c>
      <c r="K11" s="72"/>
      <c r="L11" s="73"/>
      <c r="M11" s="74"/>
      <c r="N11" s="74"/>
      <c r="O11" s="74"/>
      <c r="P11" s="74"/>
      <c r="Q11" s="74"/>
      <c r="R11" s="82"/>
      <c r="S11" s="79"/>
      <c r="T11" s="79"/>
      <c r="U11" s="79"/>
      <c r="V11" s="79"/>
      <c r="W11" s="79"/>
      <c r="X11" s="72"/>
      <c r="Y11" s="73"/>
    </row>
    <row r="12" spans="1:25" ht="15.75" customHeight="1" thickBot="1" x14ac:dyDescent="0.3">
      <c r="A12" s="28">
        <v>76</v>
      </c>
      <c r="B12" s="29">
        <v>0</v>
      </c>
      <c r="C12" s="29">
        <v>1</v>
      </c>
      <c r="D12" s="30">
        <v>2</v>
      </c>
      <c r="E12" s="45">
        <f>CUESTIONARIO!I311</f>
        <v>0</v>
      </c>
      <c r="G12" s="27" t="s">
        <v>27</v>
      </c>
      <c r="H12" s="44">
        <f>SUM(E174:E185)</f>
        <v>0</v>
      </c>
      <c r="I12" s="42">
        <f>IF(AND(H12&gt;=0,H12&lt;=6),1,IF(AND(H12&gt;=7,H12&lt;=8),2,IF(H12=9,3,IF(H12=10,4,IF(AND(H12&gt;=11,H12&lt;=13),5,IF(AND(H12&gt;=14,H12&lt;=15),6,IF(H12=16,7,IF(AND(H12&gt;=17,H12&lt;=18),8,IF(AND(H12&gt;=19,H12&lt;=20),9,IF(AND(H12&gt;=21,H12&lt;=26),10,""))))))))))</f>
        <v>1</v>
      </c>
      <c r="K12" s="68" t="s">
        <v>42</v>
      </c>
      <c r="L12" s="69"/>
      <c r="M12" s="74" t="str">
        <f>IF($I$6=1,"X",".")</f>
        <v>X</v>
      </c>
      <c r="N12" s="74" t="str">
        <f>IF($I$6=2,"X",".")</f>
        <v>.</v>
      </c>
      <c r="O12" s="74" t="str">
        <f>IF($I$6=3,"X",".")</f>
        <v>.</v>
      </c>
      <c r="P12" s="74" t="str">
        <f>IF($I$6=4,"X",".")</f>
        <v>.</v>
      </c>
      <c r="Q12" s="74" t="str">
        <f>IF($I$6=5,"X",".")</f>
        <v>.</v>
      </c>
      <c r="R12" s="82" t="s">
        <v>21</v>
      </c>
      <c r="S12" s="79" t="str">
        <f>IF($I$6=6,"X",".")</f>
        <v>.</v>
      </c>
      <c r="T12" s="79" t="str">
        <f>IF($I$6=7,"X",".")</f>
        <v>.</v>
      </c>
      <c r="U12" s="79" t="str">
        <f>IF($I$6=8,"X",".")</f>
        <v>.</v>
      </c>
      <c r="V12" s="79" t="str">
        <f>IF($I$6=9,"X",".")</f>
        <v>.</v>
      </c>
      <c r="W12" s="79" t="str">
        <f>IF($I$6=10,"X",".")</f>
        <v>.</v>
      </c>
      <c r="X12" s="68" t="s">
        <v>58</v>
      </c>
      <c r="Y12" s="69"/>
    </row>
    <row r="13" spans="1:25" ht="15.75" customHeight="1" thickBot="1" x14ac:dyDescent="0.3">
      <c r="G13" s="27" t="s">
        <v>28</v>
      </c>
      <c r="H13" s="44">
        <f>SUM(E77:E86)</f>
        <v>0</v>
      </c>
      <c r="I13" s="42">
        <f>IF(AND(H13&gt;=0,H13&lt;=5),1,IF(AND(H13&gt;=6,H13&lt;=7),2,IF(H13=8,3,IF(H13=9,4,IF(H13=10,5,IF(AND(H13&gt;=11,H13&lt;=12),6,IF(H13=13,7,IF(H13=14,8,IF(H13=15,9,IF(AND(H13&gt;=16,H13&lt;=20),10,""))))))))))</f>
        <v>1</v>
      </c>
      <c r="K13" s="70"/>
      <c r="L13" s="71"/>
      <c r="M13" s="74"/>
      <c r="N13" s="74"/>
      <c r="O13" s="74"/>
      <c r="P13" s="74"/>
      <c r="Q13" s="74"/>
      <c r="R13" s="82"/>
      <c r="S13" s="79"/>
      <c r="T13" s="79"/>
      <c r="U13" s="79"/>
      <c r="V13" s="79"/>
      <c r="W13" s="79"/>
      <c r="X13" s="70"/>
      <c r="Y13" s="71"/>
    </row>
    <row r="14" spans="1:25" ht="15.75" customHeight="1" thickBot="1" x14ac:dyDescent="0.3">
      <c r="A14" s="56" t="s">
        <v>4</v>
      </c>
      <c r="B14" s="57"/>
      <c r="C14" s="57"/>
      <c r="D14" s="57"/>
      <c r="E14" s="58"/>
      <c r="G14" s="27" t="s">
        <v>29</v>
      </c>
      <c r="H14" s="44">
        <f>SUM(E189:E201)</f>
        <v>0</v>
      </c>
      <c r="I14" s="42">
        <f>IF(AND(H14&gt;=0,H14&lt;=2),1,IF(H14=3,2,IF(AND(H14&gt;=4,H14&lt;=5),3,IF(AND(H14&gt;=6,H14&lt;=8),4,IF(AND(H14&gt;=9,H14&lt;=10),5,IF(H14=11,6,IF(AND(H14&gt;=12,H14&lt;=13),7,IF(H14=14,8,IF(AND(H14&gt;=15,H14&lt;=16),9,IF(AND(H14&gt;=17,H14&lt;=26),10,""))))))))))</f>
        <v>1</v>
      </c>
      <c r="K14" s="72"/>
      <c r="L14" s="73"/>
      <c r="M14" s="74"/>
      <c r="N14" s="74"/>
      <c r="O14" s="74"/>
      <c r="P14" s="74"/>
      <c r="Q14" s="74"/>
      <c r="R14" s="82"/>
      <c r="S14" s="79"/>
      <c r="T14" s="79"/>
      <c r="U14" s="79"/>
      <c r="V14" s="79"/>
      <c r="W14" s="79"/>
      <c r="X14" s="72"/>
      <c r="Y14" s="73"/>
    </row>
    <row r="15" spans="1:25" ht="15.75" customHeight="1" thickBot="1" x14ac:dyDescent="0.3">
      <c r="A15" s="15" t="s">
        <v>15</v>
      </c>
      <c r="B15" s="16" t="s">
        <v>1</v>
      </c>
      <c r="C15" s="17" t="s">
        <v>2</v>
      </c>
      <c r="D15" s="16" t="s">
        <v>3</v>
      </c>
      <c r="E15" s="18" t="s">
        <v>20</v>
      </c>
      <c r="G15" s="27" t="s">
        <v>30</v>
      </c>
      <c r="H15" s="44">
        <f>SUM(E90:E99)</f>
        <v>0</v>
      </c>
      <c r="I15" s="42">
        <f>IF(AND(H15&gt;=0,H15&lt;=3),1,IF(AND(H15&gt;=4,H15&lt;=5),2,IF(AND(H15&gt;=6,H15&lt;=7),3,IF(AND(H15&gt;=8,H15&lt;=9),4,IF(AND(H15&gt;=10,H15&lt;=11),5,IF(H15=12,6,IF(AND(H15&gt;=13,H15&lt;=14),7,IF(H15=15,8,IF(H15=16,9,IF(AND(H15&gt;=17,H15&lt;=20),10,""))))))))))</f>
        <v>1</v>
      </c>
      <c r="K15" s="68" t="s">
        <v>43</v>
      </c>
      <c r="L15" s="69"/>
      <c r="M15" s="74" t="str">
        <f>IF($I$7=1,"X",".")</f>
        <v>X</v>
      </c>
      <c r="N15" s="74" t="str">
        <f>IF($I$7=2,"X",".")</f>
        <v>.</v>
      </c>
      <c r="O15" s="74" t="str">
        <f>IF($I$7=3,"X",".")</f>
        <v>.</v>
      </c>
      <c r="P15" s="74" t="str">
        <f>IF($I$7=4,"X",".")</f>
        <v>.</v>
      </c>
      <c r="Q15" s="74" t="str">
        <f>IF($I$7=5,"X",".")</f>
        <v>.</v>
      </c>
      <c r="R15" s="82" t="s">
        <v>22</v>
      </c>
      <c r="S15" s="79" t="str">
        <f>IF($I$7=6,"X",".")</f>
        <v>.</v>
      </c>
      <c r="T15" s="79" t="str">
        <f>IF($I$7=7,"X",".")</f>
        <v>.</v>
      </c>
      <c r="U15" s="79" t="str">
        <f>IF($I$7=8,"X",".")</f>
        <v>.</v>
      </c>
      <c r="V15" s="79" t="str">
        <f>IF($I$7=9,"X",".")</f>
        <v>.</v>
      </c>
      <c r="W15" s="79" t="str">
        <f>IF($I$7=10,"X",".")</f>
        <v>.</v>
      </c>
      <c r="X15" s="68" t="s">
        <v>59</v>
      </c>
      <c r="Y15" s="69"/>
    </row>
    <row r="16" spans="1:25" ht="15" customHeight="1" x14ac:dyDescent="0.25">
      <c r="A16" s="20">
        <v>4</v>
      </c>
      <c r="B16" s="21">
        <v>2</v>
      </c>
      <c r="C16" s="21">
        <v>1</v>
      </c>
      <c r="D16" s="22">
        <v>0</v>
      </c>
      <c r="E16" s="40">
        <f>CUESTIONARIO!I23</f>
        <v>0</v>
      </c>
      <c r="G16" s="27" t="s">
        <v>31</v>
      </c>
      <c r="H16" s="44">
        <f>SUM(E205:E215)</f>
        <v>0</v>
      </c>
      <c r="I16" s="42">
        <f>IF(AND(H16&gt;=0,H16&lt;=5),1,IF(H16=6,2,IF(AND(H16&gt;=7,H16&lt;=8),3,IF(H16=9,4,IF(AND(H16&gt;=10,H16&lt;=11),5,IF(H16=12,6,IF(AND(H16&gt;=13,H16&lt;=14),7,IF(AND(H16&gt;=15,H16&lt;=16),8,IF(H16=17,9,IF(AND(H16&gt;=18,H16&lt;=20),10,""))))))))))</f>
        <v>1</v>
      </c>
      <c r="K16" s="70"/>
      <c r="L16" s="71"/>
      <c r="M16" s="74"/>
      <c r="N16" s="74"/>
      <c r="O16" s="74"/>
      <c r="P16" s="74"/>
      <c r="Q16" s="74"/>
      <c r="R16" s="82"/>
      <c r="S16" s="79"/>
      <c r="T16" s="79"/>
      <c r="U16" s="79"/>
      <c r="V16" s="79"/>
      <c r="W16" s="79"/>
      <c r="X16" s="70"/>
      <c r="Y16" s="71"/>
    </row>
    <row r="17" spans="1:25" ht="15" customHeight="1" thickBot="1" x14ac:dyDescent="0.3">
      <c r="A17" s="24">
        <v>5</v>
      </c>
      <c r="B17" s="25">
        <v>0</v>
      </c>
      <c r="C17" s="25">
        <v>1</v>
      </c>
      <c r="D17" s="26">
        <v>2</v>
      </c>
      <c r="E17" s="44">
        <f>CUESTIONARIO!I27</f>
        <v>0</v>
      </c>
      <c r="G17" s="27" t="s">
        <v>32</v>
      </c>
      <c r="H17" s="44">
        <f>SUM(E103:E112)</f>
        <v>0</v>
      </c>
      <c r="I17" s="42">
        <f>IF(AND(H17&gt;=0,H17&lt;=4),1,IF(AND(H17&gt;=5,H17&lt;=6),2,IF(AND(H17&gt;=7,H17&lt;=9),3,IF(AND(H17&gt;=10,H17&lt;=11),4,IF(H17=12,5,IF(AND(H17&gt;=13,H17&lt;=15),6,IF(H17=16,7,IF(H17=17,8,IF(H17=18,9,IF(AND(H17&gt;=19,H17&lt;=20),10,""))))))))))</f>
        <v>1</v>
      </c>
      <c r="K17" s="72"/>
      <c r="L17" s="73"/>
      <c r="M17" s="74"/>
      <c r="N17" s="74"/>
      <c r="O17" s="74"/>
      <c r="P17" s="74"/>
      <c r="Q17" s="74"/>
      <c r="R17" s="82"/>
      <c r="S17" s="79"/>
      <c r="T17" s="79"/>
      <c r="U17" s="79"/>
      <c r="V17" s="79"/>
      <c r="W17" s="79"/>
      <c r="X17" s="72"/>
      <c r="Y17" s="73"/>
    </row>
    <row r="18" spans="1:25" ht="15.75" customHeight="1" thickBot="1" x14ac:dyDescent="0.3">
      <c r="A18" s="24">
        <v>29</v>
      </c>
      <c r="B18" s="25">
        <v>0</v>
      </c>
      <c r="C18" s="25">
        <v>1</v>
      </c>
      <c r="D18" s="26">
        <v>2</v>
      </c>
      <c r="E18" s="44">
        <f>CUESTIONARIO!I123</f>
        <v>0</v>
      </c>
      <c r="G18" s="33" t="s">
        <v>33</v>
      </c>
      <c r="H18" s="45">
        <f>SUM(E219:E232)</f>
        <v>0</v>
      </c>
      <c r="I18" s="43">
        <f>IF(AND(H18&gt;=0,H18&lt;=2),1,IF(H18=3,2,IF(H18=4,3,IF(AND(H18&gt;=5,H18&lt;=6),4,IF(AND(H18&gt;=7,H18&lt;=8),5,IF(AND(H18&gt;=9,H18&lt;=10),6,IF(AND(H18&gt;=11,H18&lt;=12),7,IF(AND(H18&gt;=13,H18&gt;=15),8,IF(AND(H18&gt;=16,H18&lt;=17),9,IF(AND(H18&gt;=18,H18&lt;=26),10,""))))))))))</f>
        <v>1</v>
      </c>
      <c r="K18" s="68" t="s">
        <v>44</v>
      </c>
      <c r="L18" s="69"/>
      <c r="M18" s="74" t="str">
        <f>IF($I$8=1,"X",".")</f>
        <v>X</v>
      </c>
      <c r="N18" s="74" t="str">
        <f>IF($I$8=2,"X",".")</f>
        <v>.</v>
      </c>
      <c r="O18" s="74" t="str">
        <f>IF($I$8=3,"X",".")</f>
        <v>.</v>
      </c>
      <c r="P18" s="74" t="str">
        <f>IF($I$8=4,"X",".")</f>
        <v>.</v>
      </c>
      <c r="Q18" s="74" t="str">
        <f>IF($I$8=5,"X",".")</f>
        <v>.</v>
      </c>
      <c r="R18" s="82" t="s">
        <v>23</v>
      </c>
      <c r="S18" s="79" t="str">
        <f>IF($I$8=6,"X",".")</f>
        <v>.</v>
      </c>
      <c r="T18" s="79" t="str">
        <f>IF($I$8=7,"X",".")</f>
        <v>.</v>
      </c>
      <c r="U18" s="79" t="str">
        <f>IF($I$8=8,"X",".")</f>
        <v>.</v>
      </c>
      <c r="V18" s="79" t="str">
        <f>IF($I$8=9,"X",".")</f>
        <v>.</v>
      </c>
      <c r="W18" s="79" t="str">
        <f>IF($I$8=10,"X",".")</f>
        <v>.</v>
      </c>
      <c r="X18" s="68" t="s">
        <v>60</v>
      </c>
      <c r="Y18" s="69"/>
    </row>
    <row r="19" spans="1:25" ht="15" customHeight="1" x14ac:dyDescent="0.25">
      <c r="A19" s="24">
        <v>30</v>
      </c>
      <c r="B19" s="25">
        <v>2</v>
      </c>
      <c r="C19" s="25">
        <v>1</v>
      </c>
      <c r="D19" s="26">
        <v>0</v>
      </c>
      <c r="E19" s="44">
        <f>CUESTIONARIO!I127</f>
        <v>0</v>
      </c>
      <c r="K19" s="70"/>
      <c r="L19" s="71"/>
      <c r="M19" s="74"/>
      <c r="N19" s="74"/>
      <c r="O19" s="74"/>
      <c r="P19" s="74"/>
      <c r="Q19" s="74"/>
      <c r="R19" s="82"/>
      <c r="S19" s="79"/>
      <c r="T19" s="79"/>
      <c r="U19" s="79"/>
      <c r="V19" s="79"/>
      <c r="W19" s="79"/>
      <c r="X19" s="70"/>
      <c r="Y19" s="71"/>
    </row>
    <row r="20" spans="1:25" ht="15" customHeight="1" thickBot="1" x14ac:dyDescent="0.3">
      <c r="A20" s="24">
        <v>55</v>
      </c>
      <c r="B20" s="25">
        <v>2</v>
      </c>
      <c r="C20" s="25">
        <v>1</v>
      </c>
      <c r="D20" s="26">
        <v>0</v>
      </c>
      <c r="E20" s="44">
        <f>CUESTIONARIO!I227</f>
        <v>0</v>
      </c>
      <c r="K20" s="72"/>
      <c r="L20" s="73"/>
      <c r="M20" s="74"/>
      <c r="N20" s="74"/>
      <c r="O20" s="74"/>
      <c r="P20" s="74"/>
      <c r="Q20" s="74"/>
      <c r="R20" s="82"/>
      <c r="S20" s="79"/>
      <c r="T20" s="79"/>
      <c r="U20" s="79"/>
      <c r="V20" s="79"/>
      <c r="W20" s="79"/>
      <c r="X20" s="72"/>
      <c r="Y20" s="73"/>
    </row>
    <row r="21" spans="1:25" ht="15" customHeight="1" x14ac:dyDescent="0.25">
      <c r="A21" s="24">
        <v>79</v>
      </c>
      <c r="B21" s="25">
        <v>0</v>
      </c>
      <c r="C21" s="25">
        <v>1</v>
      </c>
      <c r="D21" s="26">
        <v>2</v>
      </c>
      <c r="E21" s="44">
        <f>CUESTIONARIO!I323</f>
        <v>0</v>
      </c>
      <c r="K21" s="62" t="s">
        <v>45</v>
      </c>
      <c r="L21" s="63"/>
      <c r="M21" s="74" t="str">
        <f>IF($I$9=1,"X",".")</f>
        <v>X</v>
      </c>
      <c r="N21" s="74" t="str">
        <f>IF($I$9=2,"X",".")</f>
        <v>.</v>
      </c>
      <c r="O21" s="74" t="str">
        <f>IF($I$9=3,"X",".")</f>
        <v>.</v>
      </c>
      <c r="P21" s="74" t="str">
        <f>IF($I$9=4,"X",".")</f>
        <v>.</v>
      </c>
      <c r="Q21" s="74" t="str">
        <f>IF($I$9=5,"X",".")</f>
        <v>.</v>
      </c>
      <c r="R21" s="82" t="s">
        <v>24</v>
      </c>
      <c r="S21" s="79" t="str">
        <f>IF($I$9=6,"X",".")</f>
        <v>.</v>
      </c>
      <c r="T21" s="79" t="str">
        <f>IF($I$9=7,"X",".")</f>
        <v>.</v>
      </c>
      <c r="U21" s="79" t="str">
        <f>IF($I$9=8,"X",".")</f>
        <v>.</v>
      </c>
      <c r="V21" s="79" t="str">
        <f>IF($I$9=9,"X",".")</f>
        <v>.</v>
      </c>
      <c r="W21" s="79" t="str">
        <f>IF($I$9=10,"X",".")</f>
        <v>.</v>
      </c>
      <c r="X21" s="62" t="s">
        <v>61</v>
      </c>
      <c r="Y21" s="63"/>
    </row>
    <row r="22" spans="1:25" ht="15" customHeight="1" x14ac:dyDescent="0.25">
      <c r="A22" s="24">
        <v>80</v>
      </c>
      <c r="B22" s="25">
        <v>0</v>
      </c>
      <c r="C22" s="25">
        <v>1</v>
      </c>
      <c r="D22" s="26">
        <v>2</v>
      </c>
      <c r="E22" s="44">
        <f>CUESTIONARIO!I327</f>
        <v>0</v>
      </c>
      <c r="K22" s="64"/>
      <c r="L22" s="65"/>
      <c r="M22" s="74"/>
      <c r="N22" s="74"/>
      <c r="O22" s="74"/>
      <c r="P22" s="74"/>
      <c r="Q22" s="74"/>
      <c r="R22" s="82"/>
      <c r="S22" s="79"/>
      <c r="T22" s="79"/>
      <c r="U22" s="79"/>
      <c r="V22" s="79"/>
      <c r="W22" s="79"/>
      <c r="X22" s="64"/>
      <c r="Y22" s="65"/>
    </row>
    <row r="23" spans="1:25" ht="15" customHeight="1" thickBot="1" x14ac:dyDescent="0.3">
      <c r="A23" s="24">
        <v>104</v>
      </c>
      <c r="B23" s="25">
        <v>2</v>
      </c>
      <c r="C23" s="25">
        <v>1</v>
      </c>
      <c r="D23" s="26">
        <v>0</v>
      </c>
      <c r="E23" s="44">
        <f>CUESTIONARIO!I423</f>
        <v>0</v>
      </c>
      <c r="K23" s="66"/>
      <c r="L23" s="67"/>
      <c r="M23" s="74"/>
      <c r="N23" s="74"/>
      <c r="O23" s="74"/>
      <c r="P23" s="74"/>
      <c r="Q23" s="74"/>
      <c r="R23" s="82"/>
      <c r="S23" s="79"/>
      <c r="T23" s="79"/>
      <c r="U23" s="79"/>
      <c r="V23" s="79"/>
      <c r="W23" s="79"/>
      <c r="X23" s="66"/>
      <c r="Y23" s="67"/>
    </row>
    <row r="24" spans="1:25" ht="15" customHeight="1" x14ac:dyDescent="0.25">
      <c r="A24" s="24">
        <v>105</v>
      </c>
      <c r="B24" s="25">
        <v>2</v>
      </c>
      <c r="C24" s="25">
        <v>1</v>
      </c>
      <c r="D24" s="26">
        <v>0</v>
      </c>
      <c r="E24" s="44">
        <f>CUESTIONARIO!I427</f>
        <v>0</v>
      </c>
      <c r="K24" s="68" t="s">
        <v>46</v>
      </c>
      <c r="L24" s="69"/>
      <c r="M24" s="74" t="str">
        <f>IF($I$10=1,"X",".")</f>
        <v>X</v>
      </c>
      <c r="N24" s="74" t="str">
        <f>IF($I$10=2,"X",".")</f>
        <v>.</v>
      </c>
      <c r="O24" s="74" t="str">
        <f>IF($I$10=3,"X",".")</f>
        <v>.</v>
      </c>
      <c r="P24" s="74" t="str">
        <f>IF($I$10=4,"X",".")</f>
        <v>.</v>
      </c>
      <c r="Q24" s="74" t="str">
        <f>IF($I$10=5,"X",".")</f>
        <v>.</v>
      </c>
      <c r="R24" s="82" t="s">
        <v>25</v>
      </c>
      <c r="S24" s="79" t="str">
        <f>IF($I$10=6,"X",".")</f>
        <v>.</v>
      </c>
      <c r="T24" s="79" t="str">
        <f>IF($I$10=7,"X",".")</f>
        <v>.</v>
      </c>
      <c r="U24" s="79" t="str">
        <f>IF($I$10=8,"X",".")</f>
        <v>.</v>
      </c>
      <c r="V24" s="79" t="str">
        <f>IF($I$10=9,"X",".")</f>
        <v>.</v>
      </c>
      <c r="W24" s="79" t="str">
        <f>IF($I$10=10,"X",".")</f>
        <v>.</v>
      </c>
      <c r="X24" s="68" t="s">
        <v>62</v>
      </c>
      <c r="Y24" s="69"/>
    </row>
    <row r="25" spans="1:25" ht="15" customHeight="1" x14ac:dyDescent="0.25">
      <c r="A25" s="24">
        <v>129</v>
      </c>
      <c r="B25" s="25">
        <v>0</v>
      </c>
      <c r="C25" s="25">
        <v>1</v>
      </c>
      <c r="D25" s="26">
        <v>2</v>
      </c>
      <c r="E25" s="44">
        <f>CUESTIONARIO!I523</f>
        <v>0</v>
      </c>
      <c r="K25" s="70"/>
      <c r="L25" s="71"/>
      <c r="M25" s="74"/>
      <c r="N25" s="74"/>
      <c r="O25" s="74"/>
      <c r="P25" s="74"/>
      <c r="Q25" s="74"/>
      <c r="R25" s="82"/>
      <c r="S25" s="79"/>
      <c r="T25" s="79"/>
      <c r="U25" s="79"/>
      <c r="V25" s="79"/>
      <c r="W25" s="79"/>
      <c r="X25" s="70"/>
      <c r="Y25" s="71"/>
    </row>
    <row r="26" spans="1:25" ht="15" customHeight="1" thickBot="1" x14ac:dyDescent="0.3">
      <c r="A26" s="24">
        <v>130</v>
      </c>
      <c r="B26" s="25">
        <v>2</v>
      </c>
      <c r="C26" s="25">
        <v>1</v>
      </c>
      <c r="D26" s="26">
        <v>0</v>
      </c>
      <c r="E26" s="46">
        <f>CUESTIONARIO!I527</f>
        <v>0</v>
      </c>
      <c r="K26" s="72"/>
      <c r="L26" s="73"/>
      <c r="M26" s="74"/>
      <c r="N26" s="74"/>
      <c r="O26" s="74"/>
      <c r="P26" s="74"/>
      <c r="Q26" s="74"/>
      <c r="R26" s="82"/>
      <c r="S26" s="79"/>
      <c r="T26" s="79"/>
      <c r="U26" s="79"/>
      <c r="V26" s="79"/>
      <c r="W26" s="79"/>
      <c r="X26" s="72"/>
      <c r="Y26" s="73"/>
    </row>
    <row r="27" spans="1:25" ht="15" customHeight="1" x14ac:dyDescent="0.25">
      <c r="A27" s="24">
        <v>154</v>
      </c>
      <c r="B27" s="25">
        <v>0</v>
      </c>
      <c r="C27" s="25">
        <v>1</v>
      </c>
      <c r="D27" s="26">
        <v>2</v>
      </c>
      <c r="E27" s="44">
        <f>CUESTIONARIO!I623</f>
        <v>0</v>
      </c>
      <c r="K27" s="68" t="s">
        <v>47</v>
      </c>
      <c r="L27" s="69"/>
      <c r="M27" s="74" t="str">
        <f>IF($I$11=1,"X",".")</f>
        <v>X</v>
      </c>
      <c r="N27" s="74" t="str">
        <f>IF($I$11=2,"X",".")</f>
        <v>.</v>
      </c>
      <c r="O27" s="74" t="str">
        <f>IF($I$11=3,"X",".")</f>
        <v>.</v>
      </c>
      <c r="P27" s="74" t="str">
        <f>IF($I$11=4,"X",".")</f>
        <v>.</v>
      </c>
      <c r="Q27" s="74" t="str">
        <f>IF($I$11=5,"X",".")</f>
        <v>.</v>
      </c>
      <c r="R27" s="82" t="s">
        <v>26</v>
      </c>
      <c r="S27" s="79" t="str">
        <f>IF($I$11=6,"X",".")</f>
        <v>.</v>
      </c>
      <c r="T27" s="79" t="str">
        <f>IF($I$11=7,"X",".")</f>
        <v>.</v>
      </c>
      <c r="U27" s="79" t="str">
        <f>IF($I$11=8,"X",".")</f>
        <v>.</v>
      </c>
      <c r="V27" s="79" t="str">
        <f>IF($I$11=9,"X",".")</f>
        <v>.</v>
      </c>
      <c r="W27" s="79" t="str">
        <f>IF($I$11=10,"X",".")</f>
        <v>.</v>
      </c>
      <c r="X27" s="68" t="s">
        <v>63</v>
      </c>
      <c r="Y27" s="69"/>
    </row>
    <row r="28" spans="1:25" ht="15.75" customHeight="1" thickBot="1" x14ac:dyDescent="0.3">
      <c r="A28" s="28">
        <v>179</v>
      </c>
      <c r="B28" s="29">
        <v>2</v>
      </c>
      <c r="C28" s="29">
        <v>1</v>
      </c>
      <c r="D28" s="30">
        <v>0</v>
      </c>
      <c r="E28" s="45">
        <f>CUESTIONARIO!I723</f>
        <v>0</v>
      </c>
      <c r="K28" s="70"/>
      <c r="L28" s="71"/>
      <c r="M28" s="74"/>
      <c r="N28" s="74"/>
      <c r="O28" s="74"/>
      <c r="P28" s="74"/>
      <c r="Q28" s="74"/>
      <c r="R28" s="82"/>
      <c r="S28" s="79"/>
      <c r="T28" s="79"/>
      <c r="U28" s="79"/>
      <c r="V28" s="79"/>
      <c r="W28" s="79"/>
      <c r="X28" s="70"/>
      <c r="Y28" s="71"/>
    </row>
    <row r="29" spans="1:25" ht="15.75" customHeight="1" thickBot="1" x14ac:dyDescent="0.3">
      <c r="K29" s="72"/>
      <c r="L29" s="73"/>
      <c r="M29" s="74"/>
      <c r="N29" s="74"/>
      <c r="O29" s="74"/>
      <c r="P29" s="74"/>
      <c r="Q29" s="74"/>
      <c r="R29" s="82"/>
      <c r="S29" s="79"/>
      <c r="T29" s="79"/>
      <c r="U29" s="79"/>
      <c r="V29" s="79"/>
      <c r="W29" s="79"/>
      <c r="X29" s="72"/>
      <c r="Y29" s="73"/>
    </row>
    <row r="30" spans="1:25" ht="15.75" customHeight="1" thickBot="1" x14ac:dyDescent="0.3">
      <c r="A30" s="56" t="s">
        <v>5</v>
      </c>
      <c r="B30" s="57"/>
      <c r="C30" s="57"/>
      <c r="D30" s="57"/>
      <c r="E30" s="58"/>
      <c r="K30" s="68" t="s">
        <v>48</v>
      </c>
      <c r="L30" s="69"/>
      <c r="M30" s="74" t="str">
        <f>IF($I$12=1,"X",".")</f>
        <v>X</v>
      </c>
      <c r="N30" s="74" t="str">
        <f>IF($I$12=2,"X",".")</f>
        <v>.</v>
      </c>
      <c r="O30" s="74" t="str">
        <f>IF($I$12=3,"X",".")</f>
        <v>.</v>
      </c>
      <c r="P30" s="74" t="str">
        <f>IF($I$12=4,"X",".")</f>
        <v>.</v>
      </c>
      <c r="Q30" s="74" t="str">
        <f>IF($I$12=5,"X",".")</f>
        <v>.</v>
      </c>
      <c r="R30" s="82" t="s">
        <v>27</v>
      </c>
      <c r="S30" s="79" t="str">
        <f>IF($I$12=6,"X",".")</f>
        <v>.</v>
      </c>
      <c r="T30" s="79" t="str">
        <f>IF($I$12=7,"X",".")</f>
        <v>.</v>
      </c>
      <c r="U30" s="79" t="str">
        <f>IF($I$12=8,"X",".")</f>
        <v>.</v>
      </c>
      <c r="V30" s="79" t="str">
        <f>IF($I$12=9,"X",".")</f>
        <v>.</v>
      </c>
      <c r="W30" s="79" t="str">
        <f>IF($I$12=10,"X",".")</f>
        <v>.</v>
      </c>
      <c r="X30" s="68" t="s">
        <v>64</v>
      </c>
      <c r="Y30" s="69"/>
    </row>
    <row r="31" spans="1:25" ht="15.75" customHeight="1" thickBot="1" x14ac:dyDescent="0.3">
      <c r="A31" s="15" t="s">
        <v>15</v>
      </c>
      <c r="B31" s="16" t="s">
        <v>1</v>
      </c>
      <c r="C31" s="17" t="s">
        <v>2</v>
      </c>
      <c r="D31" s="16" t="s">
        <v>3</v>
      </c>
      <c r="E31" s="18" t="s">
        <v>20</v>
      </c>
      <c r="K31" s="70"/>
      <c r="L31" s="71"/>
      <c r="M31" s="74"/>
      <c r="N31" s="74"/>
      <c r="O31" s="74"/>
      <c r="P31" s="74"/>
      <c r="Q31" s="74"/>
      <c r="R31" s="82"/>
      <c r="S31" s="79"/>
      <c r="T31" s="79"/>
      <c r="U31" s="79"/>
      <c r="V31" s="79"/>
      <c r="W31" s="79"/>
      <c r="X31" s="70"/>
      <c r="Y31" s="71"/>
    </row>
    <row r="32" spans="1:25" ht="15" customHeight="1" thickBot="1" x14ac:dyDescent="0.3">
      <c r="A32" s="20">
        <v>8</v>
      </c>
      <c r="B32" s="21">
        <v>0</v>
      </c>
      <c r="C32" s="21">
        <v>1</v>
      </c>
      <c r="D32" s="22">
        <v>2</v>
      </c>
      <c r="E32" s="40">
        <f>CUESTIONARIO!I39</f>
        <v>0</v>
      </c>
      <c r="K32" s="72"/>
      <c r="L32" s="73"/>
      <c r="M32" s="74"/>
      <c r="N32" s="74"/>
      <c r="O32" s="74"/>
      <c r="P32" s="74"/>
      <c r="Q32" s="74"/>
      <c r="R32" s="82"/>
      <c r="S32" s="79"/>
      <c r="T32" s="79"/>
      <c r="U32" s="79"/>
      <c r="V32" s="79"/>
      <c r="W32" s="79"/>
      <c r="X32" s="72"/>
      <c r="Y32" s="73"/>
    </row>
    <row r="33" spans="1:25" ht="15" customHeight="1" x14ac:dyDescent="0.25">
      <c r="A33" s="24">
        <v>33</v>
      </c>
      <c r="B33" s="25">
        <v>2</v>
      </c>
      <c r="C33" s="25">
        <v>1</v>
      </c>
      <c r="D33" s="26">
        <v>0</v>
      </c>
      <c r="E33" s="44">
        <f>CUESTIONARIO!I139</f>
        <v>0</v>
      </c>
      <c r="K33" s="68" t="s">
        <v>49</v>
      </c>
      <c r="L33" s="69"/>
      <c r="M33" s="74" t="str">
        <f>IF($I$13=1,"X",".")</f>
        <v>X</v>
      </c>
      <c r="N33" s="74" t="str">
        <f>IF($I$13=2,"X",".")</f>
        <v>.</v>
      </c>
      <c r="O33" s="74" t="str">
        <f>IF($I$13=3,"X",".")</f>
        <v>.</v>
      </c>
      <c r="P33" s="74" t="str">
        <f>IF($I$13=4,"X",".")</f>
        <v>.</v>
      </c>
      <c r="Q33" s="74" t="str">
        <f>IF($I$13=5,"X",".")</f>
        <v>.</v>
      </c>
      <c r="R33" s="82" t="s">
        <v>28</v>
      </c>
      <c r="S33" s="79" t="str">
        <f>IF($I$13=6,"X",".")</f>
        <v>.</v>
      </c>
      <c r="T33" s="79" t="str">
        <f>IF($I$13=7,"X",".")</f>
        <v>.</v>
      </c>
      <c r="U33" s="79" t="str">
        <f>IF($I$13=8,"X",".")</f>
        <v>.</v>
      </c>
      <c r="V33" s="79" t="str">
        <f>IF($I$13=9,"X",".")</f>
        <v>.</v>
      </c>
      <c r="W33" s="79" t="str">
        <f>IF($I$13=10,"X",".")</f>
        <v>.</v>
      </c>
      <c r="X33" s="68" t="s">
        <v>65</v>
      </c>
      <c r="Y33" s="69"/>
    </row>
    <row r="34" spans="1:25" ht="15" customHeight="1" x14ac:dyDescent="0.25">
      <c r="A34" s="24">
        <v>58</v>
      </c>
      <c r="B34" s="25">
        <v>2</v>
      </c>
      <c r="C34" s="25">
        <v>1</v>
      </c>
      <c r="D34" s="26">
        <v>0</v>
      </c>
      <c r="E34" s="44">
        <f>CUESTIONARIO!I239</f>
        <v>0</v>
      </c>
      <c r="K34" s="70"/>
      <c r="L34" s="71"/>
      <c r="M34" s="74"/>
      <c r="N34" s="74"/>
      <c r="O34" s="74"/>
      <c r="P34" s="74"/>
      <c r="Q34" s="74"/>
      <c r="R34" s="82"/>
      <c r="S34" s="79"/>
      <c r="T34" s="79"/>
      <c r="U34" s="79"/>
      <c r="V34" s="79"/>
      <c r="W34" s="79"/>
      <c r="X34" s="70"/>
      <c r="Y34" s="71"/>
    </row>
    <row r="35" spans="1:25" ht="15" customHeight="1" thickBot="1" x14ac:dyDescent="0.3">
      <c r="A35" s="24">
        <v>82</v>
      </c>
      <c r="B35" s="25">
        <v>0</v>
      </c>
      <c r="C35" s="25">
        <v>1</v>
      </c>
      <c r="D35" s="26">
        <v>2</v>
      </c>
      <c r="E35" s="44">
        <f>CUESTIONARIO!I335</f>
        <v>0</v>
      </c>
      <c r="K35" s="72"/>
      <c r="L35" s="73"/>
      <c r="M35" s="74"/>
      <c r="N35" s="74"/>
      <c r="O35" s="74"/>
      <c r="P35" s="74"/>
      <c r="Q35" s="74"/>
      <c r="R35" s="82"/>
      <c r="S35" s="79"/>
      <c r="T35" s="79"/>
      <c r="U35" s="79"/>
      <c r="V35" s="79"/>
      <c r="W35" s="79"/>
      <c r="X35" s="72"/>
      <c r="Y35" s="73"/>
    </row>
    <row r="36" spans="1:25" ht="15" customHeight="1" x14ac:dyDescent="0.25">
      <c r="A36" s="24">
        <v>83</v>
      </c>
      <c r="B36" s="25">
        <v>2</v>
      </c>
      <c r="C36" s="25">
        <v>1</v>
      </c>
      <c r="D36" s="26">
        <v>0</v>
      </c>
      <c r="E36" s="44">
        <f>CUESTIONARIO!I339</f>
        <v>0</v>
      </c>
      <c r="K36" s="68" t="s">
        <v>50</v>
      </c>
      <c r="L36" s="69"/>
      <c r="M36" s="74" t="str">
        <f>IF($I$14=1,"X",".")</f>
        <v>X</v>
      </c>
      <c r="N36" s="74" t="str">
        <f>IF($I$14=2,"X",".")</f>
        <v>.</v>
      </c>
      <c r="O36" s="74" t="str">
        <f>IF($I$14=3,"X",".")</f>
        <v>.</v>
      </c>
      <c r="P36" s="74" t="str">
        <f>IF($I$14=4,"X",".")</f>
        <v>.</v>
      </c>
      <c r="Q36" s="74" t="str">
        <f>IF($I$14=5,"X",".")</f>
        <v>.</v>
      </c>
      <c r="R36" s="82" t="s">
        <v>29</v>
      </c>
      <c r="S36" s="79" t="str">
        <f>IF($I$14=6,"X",".")</f>
        <v>.</v>
      </c>
      <c r="T36" s="79" t="str">
        <f>IF($I$14=7,"X",".")</f>
        <v>.</v>
      </c>
      <c r="U36" s="79" t="str">
        <f>IF($I$14=8,"X",".")</f>
        <v>.</v>
      </c>
      <c r="V36" s="79" t="str">
        <f>IF($I$14=9,"X",".")</f>
        <v>.</v>
      </c>
      <c r="W36" s="79" t="str">
        <f>IF($I$14=10,"X",".")</f>
        <v>.</v>
      </c>
      <c r="X36" s="68" t="s">
        <v>66</v>
      </c>
      <c r="Y36" s="69"/>
    </row>
    <row r="37" spans="1:25" ht="15" customHeight="1" x14ac:dyDescent="0.25">
      <c r="A37" s="24">
        <v>107</v>
      </c>
      <c r="B37" s="25">
        <v>0</v>
      </c>
      <c r="C37" s="25">
        <v>1</v>
      </c>
      <c r="D37" s="26">
        <v>2</v>
      </c>
      <c r="E37" s="44">
        <f>CUESTIONARIO!I435</f>
        <v>0</v>
      </c>
      <c r="K37" s="70"/>
      <c r="L37" s="71"/>
      <c r="M37" s="74"/>
      <c r="N37" s="74"/>
      <c r="O37" s="74"/>
      <c r="P37" s="74"/>
      <c r="Q37" s="74"/>
      <c r="R37" s="82"/>
      <c r="S37" s="79"/>
      <c r="T37" s="79"/>
      <c r="U37" s="79"/>
      <c r="V37" s="79"/>
      <c r="W37" s="79"/>
      <c r="X37" s="70"/>
      <c r="Y37" s="71"/>
    </row>
    <row r="38" spans="1:25" ht="15" customHeight="1" thickBot="1" x14ac:dyDescent="0.3">
      <c r="A38" s="24">
        <v>108</v>
      </c>
      <c r="B38" s="25">
        <v>0</v>
      </c>
      <c r="C38" s="25">
        <v>1</v>
      </c>
      <c r="D38" s="26">
        <v>2</v>
      </c>
      <c r="E38" s="44">
        <f>CUESTIONARIO!I439</f>
        <v>0</v>
      </c>
      <c r="K38" s="72"/>
      <c r="L38" s="73"/>
      <c r="M38" s="74"/>
      <c r="N38" s="74"/>
      <c r="O38" s="74"/>
      <c r="P38" s="74"/>
      <c r="Q38" s="74"/>
      <c r="R38" s="82"/>
      <c r="S38" s="79"/>
      <c r="T38" s="79"/>
      <c r="U38" s="79"/>
      <c r="V38" s="79"/>
      <c r="W38" s="79"/>
      <c r="X38" s="72"/>
      <c r="Y38" s="73"/>
    </row>
    <row r="39" spans="1:25" ht="15" customHeight="1" x14ac:dyDescent="0.25">
      <c r="A39" s="24">
        <v>132</v>
      </c>
      <c r="B39" s="25">
        <v>2</v>
      </c>
      <c r="C39" s="25">
        <v>1</v>
      </c>
      <c r="D39" s="26">
        <v>0</v>
      </c>
      <c r="E39" s="44">
        <f>CUESTIONARIO!I535</f>
        <v>0</v>
      </c>
      <c r="K39" s="62" t="s">
        <v>51</v>
      </c>
      <c r="L39" s="63"/>
      <c r="M39" s="74" t="str">
        <f>IF($I$15=1,"X",".")</f>
        <v>X</v>
      </c>
      <c r="N39" s="74" t="str">
        <f>IF($I$15=2,"X",".")</f>
        <v>.</v>
      </c>
      <c r="O39" s="74" t="str">
        <f>IF($I$15=3,"X",".")</f>
        <v>.</v>
      </c>
      <c r="P39" s="74" t="str">
        <f>IF($I$15=4,"X",".")</f>
        <v>.</v>
      </c>
      <c r="Q39" s="74" t="str">
        <f>IF($I$15=5,"X",".")</f>
        <v>.</v>
      </c>
      <c r="R39" s="82" t="s">
        <v>30</v>
      </c>
      <c r="S39" s="79" t="str">
        <f>IF($I$15=6,"X",".")</f>
        <v>.</v>
      </c>
      <c r="T39" s="79" t="str">
        <f>IF($I$15=7,"X",".")</f>
        <v>.</v>
      </c>
      <c r="U39" s="79" t="str">
        <f>IF($I$15=8,"X",".")</f>
        <v>.</v>
      </c>
      <c r="V39" s="79" t="str">
        <f>IF($I$15=9,"X",".")</f>
        <v>.</v>
      </c>
      <c r="W39" s="79" t="str">
        <f>IF($I$15=10,"X",".")</f>
        <v>.</v>
      </c>
      <c r="X39" s="62" t="s">
        <v>67</v>
      </c>
      <c r="Y39" s="63"/>
    </row>
    <row r="40" spans="1:25" ht="15" customHeight="1" x14ac:dyDescent="0.25">
      <c r="A40" s="24">
        <v>133</v>
      </c>
      <c r="B40" s="25">
        <v>2</v>
      </c>
      <c r="C40" s="25">
        <v>1</v>
      </c>
      <c r="D40" s="26">
        <v>0</v>
      </c>
      <c r="E40" s="44">
        <f>CUESTIONARIO!I539</f>
        <v>0</v>
      </c>
      <c r="K40" s="64"/>
      <c r="L40" s="65"/>
      <c r="M40" s="74"/>
      <c r="N40" s="74"/>
      <c r="O40" s="74"/>
      <c r="P40" s="74"/>
      <c r="Q40" s="74"/>
      <c r="R40" s="82"/>
      <c r="S40" s="79"/>
      <c r="T40" s="79"/>
      <c r="U40" s="79"/>
      <c r="V40" s="79"/>
      <c r="W40" s="79"/>
      <c r="X40" s="64"/>
      <c r="Y40" s="65"/>
    </row>
    <row r="41" spans="1:25" ht="15" customHeight="1" thickBot="1" x14ac:dyDescent="0.3">
      <c r="A41" s="24">
        <v>157</v>
      </c>
      <c r="B41" s="25">
        <v>0</v>
      </c>
      <c r="C41" s="25">
        <v>1</v>
      </c>
      <c r="D41" s="26">
        <v>2</v>
      </c>
      <c r="E41" s="44">
        <f>CUESTIONARIO!I635</f>
        <v>0</v>
      </c>
      <c r="K41" s="66"/>
      <c r="L41" s="67"/>
      <c r="M41" s="74"/>
      <c r="N41" s="74"/>
      <c r="O41" s="74"/>
      <c r="P41" s="74"/>
      <c r="Q41" s="74"/>
      <c r="R41" s="82"/>
      <c r="S41" s="79"/>
      <c r="T41" s="79"/>
      <c r="U41" s="79"/>
      <c r="V41" s="79"/>
      <c r="W41" s="79"/>
      <c r="X41" s="66"/>
      <c r="Y41" s="67"/>
    </row>
    <row r="42" spans="1:25" ht="15" customHeight="1" x14ac:dyDescent="0.25">
      <c r="A42" s="24">
        <v>158</v>
      </c>
      <c r="B42" s="25">
        <v>0</v>
      </c>
      <c r="C42" s="25">
        <v>1</v>
      </c>
      <c r="D42" s="26">
        <v>2</v>
      </c>
      <c r="E42" s="44">
        <f>CUESTIONARIO!I639</f>
        <v>0</v>
      </c>
      <c r="K42" s="62" t="s">
        <v>52</v>
      </c>
      <c r="L42" s="63"/>
      <c r="M42" s="74" t="str">
        <f>IF($I$16=1,"X",".")</f>
        <v>X</v>
      </c>
      <c r="N42" s="74" t="str">
        <f>IF($I$16=2,"X",".")</f>
        <v>.</v>
      </c>
      <c r="O42" s="74" t="str">
        <f>IF($I$16=3,"X",".")</f>
        <v>.</v>
      </c>
      <c r="P42" s="74" t="str">
        <f>IF($I$16=4,"X",".")</f>
        <v>.</v>
      </c>
      <c r="Q42" s="74" t="str">
        <f>IF($I$16=5,"X",".")</f>
        <v>.</v>
      </c>
      <c r="R42" s="82" t="s">
        <v>31</v>
      </c>
      <c r="S42" s="79" t="str">
        <f>IF($I$16=6,"X",".")</f>
        <v>.</v>
      </c>
      <c r="T42" s="79" t="str">
        <f>IF($I$16=7,"X",".")</f>
        <v>.</v>
      </c>
      <c r="U42" s="79" t="str">
        <f>IF($I$16=8,"X",".")</f>
        <v>.</v>
      </c>
      <c r="V42" s="79" t="str">
        <f>IF($I$16=9,"X",".")</f>
        <v>.</v>
      </c>
      <c r="W42" s="79" t="str">
        <f>IF($I$16=10,"X",".")</f>
        <v>.</v>
      </c>
      <c r="X42" s="62" t="s">
        <v>68</v>
      </c>
      <c r="Y42" s="63"/>
    </row>
    <row r="43" spans="1:25" ht="15" customHeight="1" x14ac:dyDescent="0.25">
      <c r="A43" s="24">
        <v>183</v>
      </c>
      <c r="B43" s="25">
        <v>2</v>
      </c>
      <c r="C43" s="25">
        <v>1</v>
      </c>
      <c r="D43" s="26">
        <v>0</v>
      </c>
      <c r="E43" s="44">
        <f>CUESTIONARIO!I739</f>
        <v>0</v>
      </c>
      <c r="K43" s="64"/>
      <c r="L43" s="65"/>
      <c r="M43" s="74"/>
      <c r="N43" s="74"/>
      <c r="O43" s="74"/>
      <c r="P43" s="74"/>
      <c r="Q43" s="74"/>
      <c r="R43" s="82"/>
      <c r="S43" s="79"/>
      <c r="T43" s="79"/>
      <c r="U43" s="79"/>
      <c r="V43" s="79"/>
      <c r="W43" s="79"/>
      <c r="X43" s="64"/>
      <c r="Y43" s="65"/>
    </row>
    <row r="44" spans="1:25" ht="15.75" customHeight="1" thickBot="1" x14ac:dyDescent="0.3">
      <c r="A44" s="28">
        <v>182</v>
      </c>
      <c r="B44" s="29">
        <v>2</v>
      </c>
      <c r="C44" s="29">
        <v>1</v>
      </c>
      <c r="D44" s="30">
        <v>0</v>
      </c>
      <c r="E44" s="45">
        <f>CUESTIONARIO!I735</f>
        <v>0</v>
      </c>
      <c r="K44" s="66"/>
      <c r="L44" s="67"/>
      <c r="M44" s="74"/>
      <c r="N44" s="74"/>
      <c r="O44" s="74"/>
      <c r="P44" s="74"/>
      <c r="Q44" s="74"/>
      <c r="R44" s="82"/>
      <c r="S44" s="79"/>
      <c r="T44" s="79"/>
      <c r="U44" s="79"/>
      <c r="V44" s="79"/>
      <c r="W44" s="79"/>
      <c r="X44" s="66"/>
      <c r="Y44" s="67"/>
    </row>
    <row r="45" spans="1:25" ht="15.75" customHeight="1" thickBot="1" x14ac:dyDescent="0.3">
      <c r="K45" s="62" t="s">
        <v>53</v>
      </c>
      <c r="L45" s="63"/>
      <c r="M45" s="74" t="str">
        <f>IF($I$17=1,"X",".")</f>
        <v>X</v>
      </c>
      <c r="N45" s="74" t="str">
        <f>IF($I$17=2,"X",".")</f>
        <v>.</v>
      </c>
      <c r="O45" s="74" t="str">
        <f>IF($I$17=3,"X",".")</f>
        <v>.</v>
      </c>
      <c r="P45" s="74" t="str">
        <f>IF($I$17=4,"X",".")</f>
        <v>.</v>
      </c>
      <c r="Q45" s="74" t="str">
        <f>IF($I$17=5,"X",".")</f>
        <v>.</v>
      </c>
      <c r="R45" s="82" t="s">
        <v>32</v>
      </c>
      <c r="S45" s="79" t="str">
        <f>IF($I$17=6,"X",".")</f>
        <v>.</v>
      </c>
      <c r="T45" s="79" t="str">
        <f>IF($I$17=7,"X",".")</f>
        <v>.</v>
      </c>
      <c r="U45" s="79" t="str">
        <f>IF($I$17=8,"X",".")</f>
        <v>.</v>
      </c>
      <c r="V45" s="79" t="str">
        <f>IF($I$17=9,"X",".")</f>
        <v>.</v>
      </c>
      <c r="W45" s="79" t="str">
        <f>IF($I$17=10,"X",".")</f>
        <v>.</v>
      </c>
      <c r="X45" s="62" t="s">
        <v>69</v>
      </c>
      <c r="Y45" s="63"/>
    </row>
    <row r="46" spans="1:25" ht="15.75" customHeight="1" thickBot="1" x14ac:dyDescent="0.3">
      <c r="A46" s="56" t="s">
        <v>6</v>
      </c>
      <c r="B46" s="57"/>
      <c r="C46" s="57"/>
      <c r="D46" s="57"/>
      <c r="E46" s="58"/>
      <c r="K46" s="64"/>
      <c r="L46" s="65"/>
      <c r="M46" s="74"/>
      <c r="N46" s="74"/>
      <c r="O46" s="74"/>
      <c r="P46" s="74"/>
      <c r="Q46" s="74"/>
      <c r="R46" s="82"/>
      <c r="S46" s="79"/>
      <c r="T46" s="79"/>
      <c r="U46" s="79"/>
      <c r="V46" s="79"/>
      <c r="W46" s="79"/>
      <c r="X46" s="64"/>
      <c r="Y46" s="65"/>
    </row>
    <row r="47" spans="1:25" ht="15.75" customHeight="1" thickBot="1" x14ac:dyDescent="0.3">
      <c r="A47" s="15" t="s">
        <v>15</v>
      </c>
      <c r="B47" s="16" t="s">
        <v>1</v>
      </c>
      <c r="C47" s="17" t="s">
        <v>2</v>
      </c>
      <c r="D47" s="16" t="s">
        <v>3</v>
      </c>
      <c r="E47" s="18" t="s">
        <v>20</v>
      </c>
      <c r="K47" s="66"/>
      <c r="L47" s="67"/>
      <c r="M47" s="74"/>
      <c r="N47" s="74"/>
      <c r="O47" s="74"/>
      <c r="P47" s="74"/>
      <c r="Q47" s="74"/>
      <c r="R47" s="82"/>
      <c r="S47" s="79"/>
      <c r="T47" s="79"/>
      <c r="U47" s="79"/>
      <c r="V47" s="79"/>
      <c r="W47" s="79"/>
      <c r="X47" s="66"/>
      <c r="Y47" s="67"/>
    </row>
    <row r="48" spans="1:25" ht="15" customHeight="1" x14ac:dyDescent="0.25">
      <c r="A48" s="20">
        <v>10</v>
      </c>
      <c r="B48" s="21">
        <v>2</v>
      </c>
      <c r="C48" s="21">
        <v>1</v>
      </c>
      <c r="D48" s="22">
        <v>0</v>
      </c>
      <c r="E48" s="40">
        <f>CUESTIONARIO!I47</f>
        <v>0</v>
      </c>
      <c r="K48" s="62" t="s">
        <v>54</v>
      </c>
      <c r="L48" s="63"/>
      <c r="M48" s="77" t="str">
        <f>IF($I$18=1,"X",".")</f>
        <v>X</v>
      </c>
      <c r="N48" s="75" t="str">
        <f>IF($I$18=2,"X",".")</f>
        <v>.</v>
      </c>
      <c r="O48" s="75" t="str">
        <f>IF($I$18=3,"X",".")</f>
        <v>.</v>
      </c>
      <c r="P48" s="75" t="str">
        <f>IF($I$18=4,"X",".")</f>
        <v>.</v>
      </c>
      <c r="Q48" s="75" t="str">
        <f>IF($I$18=5,"X",".")</f>
        <v>.</v>
      </c>
      <c r="R48" s="82" t="s">
        <v>33</v>
      </c>
      <c r="S48" s="80" t="str">
        <f>IF($I$18=6,"X",".")</f>
        <v>.</v>
      </c>
      <c r="T48" s="80" t="str">
        <f>IF($I$18=7,"X",".")</f>
        <v>.</v>
      </c>
      <c r="U48" s="80" t="str">
        <f>IF($I$18=8,"X",".")</f>
        <v>.</v>
      </c>
      <c r="V48" s="80" t="str">
        <f>IF($I$18=9,"X",".")</f>
        <v>.</v>
      </c>
      <c r="W48" s="95" t="str">
        <f>IF($I$18=10,"X",".")</f>
        <v>.</v>
      </c>
      <c r="X48" s="62" t="s">
        <v>70</v>
      </c>
      <c r="Y48" s="63"/>
    </row>
    <row r="49" spans="1:25" ht="15.75" customHeight="1" x14ac:dyDescent="0.25">
      <c r="A49" s="24">
        <v>35</v>
      </c>
      <c r="B49" s="25">
        <v>0</v>
      </c>
      <c r="C49" s="25">
        <v>1</v>
      </c>
      <c r="D49" s="26">
        <v>2</v>
      </c>
      <c r="E49" s="44">
        <f>CUESTIONARIO!I147</f>
        <v>0</v>
      </c>
      <c r="K49" s="64"/>
      <c r="L49" s="65"/>
      <c r="M49" s="77"/>
      <c r="N49" s="75"/>
      <c r="O49" s="75"/>
      <c r="P49" s="75"/>
      <c r="Q49" s="75"/>
      <c r="R49" s="82"/>
      <c r="S49" s="80"/>
      <c r="T49" s="80"/>
      <c r="U49" s="80"/>
      <c r="V49" s="80"/>
      <c r="W49" s="95"/>
      <c r="X49" s="64"/>
      <c r="Y49" s="65"/>
    </row>
    <row r="50" spans="1:25" ht="15.75" thickBot="1" x14ac:dyDescent="0.3">
      <c r="A50" s="24">
        <v>36</v>
      </c>
      <c r="B50" s="25">
        <v>2</v>
      </c>
      <c r="C50" s="25">
        <v>1</v>
      </c>
      <c r="D50" s="26">
        <v>0</v>
      </c>
      <c r="E50" s="44">
        <f>CUESTIONARIO!I151</f>
        <v>0</v>
      </c>
      <c r="K50" s="66"/>
      <c r="L50" s="67"/>
      <c r="M50" s="78"/>
      <c r="N50" s="76"/>
      <c r="O50" s="76"/>
      <c r="P50" s="76"/>
      <c r="Q50" s="76"/>
      <c r="R50" s="94"/>
      <c r="S50" s="81"/>
      <c r="T50" s="81"/>
      <c r="U50" s="81"/>
      <c r="V50" s="81"/>
      <c r="W50" s="96"/>
      <c r="X50" s="66"/>
      <c r="Y50" s="67"/>
    </row>
    <row r="51" spans="1:25" x14ac:dyDescent="0.25">
      <c r="A51" s="24">
        <v>60</v>
      </c>
      <c r="B51" s="25">
        <v>0</v>
      </c>
      <c r="C51" s="25">
        <v>1</v>
      </c>
      <c r="D51" s="26">
        <v>2</v>
      </c>
      <c r="E51" s="44">
        <f>CUESTIONARIO!I247</f>
        <v>0</v>
      </c>
      <c r="M51" s="93">
        <v>1</v>
      </c>
      <c r="N51" s="93">
        <v>2</v>
      </c>
      <c r="O51" s="93">
        <v>3</v>
      </c>
      <c r="P51" s="93">
        <v>4</v>
      </c>
      <c r="Q51" s="93">
        <v>5</v>
      </c>
      <c r="R51" s="93"/>
      <c r="S51" s="93">
        <v>6</v>
      </c>
      <c r="T51" s="93">
        <v>7</v>
      </c>
      <c r="U51" s="93">
        <v>8</v>
      </c>
      <c r="V51" s="93">
        <v>9</v>
      </c>
      <c r="W51" s="93">
        <v>10</v>
      </c>
    </row>
    <row r="52" spans="1:25" x14ac:dyDescent="0.25">
      <c r="A52" s="24">
        <v>61</v>
      </c>
      <c r="B52" s="25">
        <v>0</v>
      </c>
      <c r="C52" s="25">
        <v>1</v>
      </c>
      <c r="D52" s="26">
        <v>2</v>
      </c>
      <c r="E52" s="44">
        <f>CUESTIONARIO!I251</f>
        <v>0</v>
      </c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5" x14ac:dyDescent="0.25">
      <c r="A53" s="24">
        <v>85</v>
      </c>
      <c r="B53" s="25">
        <v>0</v>
      </c>
      <c r="C53" s="25">
        <v>1</v>
      </c>
      <c r="D53" s="26">
        <v>2</v>
      </c>
      <c r="E53" s="44">
        <f>CUESTIONARIO!I347</f>
        <v>0</v>
      </c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5" x14ac:dyDescent="0.25">
      <c r="A54" s="24">
        <v>86</v>
      </c>
      <c r="B54" s="25">
        <v>0</v>
      </c>
      <c r="C54" s="25">
        <v>1</v>
      </c>
      <c r="D54" s="26">
        <v>2</v>
      </c>
      <c r="E54" s="44">
        <f>CUESTIONARIO!I351</f>
        <v>0</v>
      </c>
      <c r="M54" s="37">
        <v>2.3E-2</v>
      </c>
      <c r="N54" s="37">
        <v>4.3999999999999997E-2</v>
      </c>
      <c r="O54" s="37">
        <v>9.1999999999999998E-2</v>
      </c>
      <c r="P54" s="38">
        <v>0.15</v>
      </c>
      <c r="Q54" s="37">
        <v>0.191</v>
      </c>
      <c r="S54" s="37">
        <v>0.191</v>
      </c>
      <c r="T54" s="38">
        <v>0.15</v>
      </c>
      <c r="U54" s="37">
        <v>9.1999999999999998E-2</v>
      </c>
      <c r="V54" s="37">
        <v>4.3999999999999997E-2</v>
      </c>
      <c r="W54" s="37">
        <v>2.3E-2</v>
      </c>
    </row>
    <row r="55" spans="1:25" x14ac:dyDescent="0.25">
      <c r="A55" s="24">
        <v>110</v>
      </c>
      <c r="B55" s="25">
        <v>2</v>
      </c>
      <c r="C55" s="25">
        <v>1</v>
      </c>
      <c r="D55" s="26">
        <v>0</v>
      </c>
      <c r="E55" s="44">
        <f>CUESTIONARIO!I447</f>
        <v>0</v>
      </c>
    </row>
    <row r="56" spans="1:25" x14ac:dyDescent="0.25">
      <c r="A56" s="24">
        <v>111</v>
      </c>
      <c r="B56" s="25">
        <v>2</v>
      </c>
      <c r="C56" s="25">
        <v>1</v>
      </c>
      <c r="D56" s="26">
        <v>0</v>
      </c>
      <c r="E56" s="44">
        <f>CUESTIONARIO!I451</f>
        <v>0</v>
      </c>
    </row>
    <row r="57" spans="1:25" x14ac:dyDescent="0.25">
      <c r="A57" s="24">
        <v>135</v>
      </c>
      <c r="B57" s="25">
        <v>2</v>
      </c>
      <c r="C57" s="25">
        <v>1</v>
      </c>
      <c r="D57" s="26">
        <v>0</v>
      </c>
      <c r="E57" s="44">
        <f>CUESTIONARIO!I547</f>
        <v>0</v>
      </c>
    </row>
    <row r="58" spans="1:25" x14ac:dyDescent="0.25">
      <c r="A58" s="24">
        <v>136</v>
      </c>
      <c r="B58" s="25">
        <v>2</v>
      </c>
      <c r="C58" s="25">
        <v>1</v>
      </c>
      <c r="D58" s="26">
        <v>0</v>
      </c>
      <c r="E58" s="44">
        <f>CUESTIONARIO!I551</f>
        <v>0</v>
      </c>
    </row>
    <row r="59" spans="1:25" x14ac:dyDescent="0.25">
      <c r="A59" s="24">
        <v>161</v>
      </c>
      <c r="B59" s="25">
        <v>0</v>
      </c>
      <c r="C59" s="25">
        <v>1</v>
      </c>
      <c r="D59" s="26">
        <v>2</v>
      </c>
      <c r="E59" s="44">
        <f>CUESTIONARIO!I651</f>
        <v>0</v>
      </c>
    </row>
    <row r="60" spans="1:25" ht="15.75" thickBot="1" x14ac:dyDescent="0.3">
      <c r="A60" s="28">
        <v>186</v>
      </c>
      <c r="B60" s="29">
        <v>2</v>
      </c>
      <c r="C60" s="29">
        <v>1</v>
      </c>
      <c r="D60" s="30">
        <v>0</v>
      </c>
      <c r="E60" s="45">
        <f>CUESTIONARIO!I751</f>
        <v>0</v>
      </c>
    </row>
    <row r="61" spans="1:25" ht="15.75" thickBot="1" x14ac:dyDescent="0.3"/>
    <row r="62" spans="1:25" ht="15.75" thickBot="1" x14ac:dyDescent="0.3">
      <c r="A62" s="56" t="s">
        <v>7</v>
      </c>
      <c r="B62" s="57"/>
      <c r="C62" s="57"/>
      <c r="D62" s="57"/>
      <c r="E62" s="58"/>
    </row>
    <row r="63" spans="1:25" ht="15.75" thickBot="1" x14ac:dyDescent="0.3">
      <c r="A63" s="15" t="s">
        <v>15</v>
      </c>
      <c r="B63" s="16" t="s">
        <v>1</v>
      </c>
      <c r="C63" s="17" t="s">
        <v>2</v>
      </c>
      <c r="D63" s="16" t="s">
        <v>3</v>
      </c>
      <c r="E63" s="18" t="s">
        <v>20</v>
      </c>
    </row>
    <row r="64" spans="1:25" x14ac:dyDescent="0.25">
      <c r="A64" s="20">
        <v>13</v>
      </c>
      <c r="B64" s="21">
        <v>0</v>
      </c>
      <c r="C64" s="21">
        <v>1</v>
      </c>
      <c r="D64" s="22">
        <v>2</v>
      </c>
      <c r="E64" s="40">
        <f>CUESTIONARIO!I59</f>
        <v>0</v>
      </c>
    </row>
    <row r="65" spans="1:5" x14ac:dyDescent="0.25">
      <c r="A65" s="24">
        <v>38</v>
      </c>
      <c r="B65" s="25">
        <v>2</v>
      </c>
      <c r="C65" s="25">
        <v>1</v>
      </c>
      <c r="D65" s="26">
        <v>0</v>
      </c>
      <c r="E65" s="44">
        <f>CUESTIONARIO!I159</f>
        <v>0</v>
      </c>
    </row>
    <row r="66" spans="1:5" x14ac:dyDescent="0.25">
      <c r="A66" s="24">
        <v>63</v>
      </c>
      <c r="B66" s="25">
        <v>0</v>
      </c>
      <c r="C66" s="25">
        <v>1</v>
      </c>
      <c r="D66" s="26">
        <v>2</v>
      </c>
      <c r="E66" s="44">
        <f>CUESTIONARIO!I259</f>
        <v>0</v>
      </c>
    </row>
    <row r="67" spans="1:5" x14ac:dyDescent="0.25">
      <c r="A67" s="24">
        <v>64</v>
      </c>
      <c r="B67" s="25">
        <v>0</v>
      </c>
      <c r="C67" s="25">
        <v>1</v>
      </c>
      <c r="D67" s="26">
        <v>2</v>
      </c>
      <c r="E67" s="44">
        <f>CUESTIONARIO!I263</f>
        <v>0</v>
      </c>
    </row>
    <row r="68" spans="1:5" x14ac:dyDescent="0.25">
      <c r="A68" s="24">
        <v>88</v>
      </c>
      <c r="B68" s="25">
        <v>2</v>
      </c>
      <c r="C68" s="25">
        <v>1</v>
      </c>
      <c r="D68" s="26">
        <v>0</v>
      </c>
      <c r="E68" s="44">
        <f>CUESTIONARIO!I359</f>
        <v>0</v>
      </c>
    </row>
    <row r="69" spans="1:5" x14ac:dyDescent="0.25">
      <c r="A69" s="24">
        <v>89</v>
      </c>
      <c r="B69" s="25">
        <v>0</v>
      </c>
      <c r="C69" s="25">
        <v>1</v>
      </c>
      <c r="D69" s="26">
        <v>2</v>
      </c>
      <c r="E69" s="44">
        <f>CUESTIONARIO!I363</f>
        <v>0</v>
      </c>
    </row>
    <row r="70" spans="1:5" x14ac:dyDescent="0.25">
      <c r="A70" s="24">
        <v>113</v>
      </c>
      <c r="B70" s="25">
        <v>2</v>
      </c>
      <c r="C70" s="25">
        <v>1</v>
      </c>
      <c r="D70" s="26">
        <v>0</v>
      </c>
      <c r="E70" s="44">
        <f>CUESTIONARIO!I459</f>
        <v>0</v>
      </c>
    </row>
    <row r="71" spans="1:5" x14ac:dyDescent="0.25">
      <c r="A71" s="24">
        <v>114</v>
      </c>
      <c r="B71" s="25">
        <v>2</v>
      </c>
      <c r="C71" s="25">
        <v>1</v>
      </c>
      <c r="D71" s="26">
        <v>0</v>
      </c>
      <c r="E71" s="44">
        <f>CUESTIONARIO!I463</f>
        <v>0</v>
      </c>
    </row>
    <row r="72" spans="1:5" x14ac:dyDescent="0.25">
      <c r="A72" s="24">
        <v>139</v>
      </c>
      <c r="B72" s="25">
        <v>0</v>
      </c>
      <c r="C72" s="25">
        <v>1</v>
      </c>
      <c r="D72" s="26">
        <v>2</v>
      </c>
      <c r="E72" s="44">
        <f>CUESTIONARIO!I563</f>
        <v>0</v>
      </c>
    </row>
    <row r="73" spans="1:5" ht="15.75" thickBot="1" x14ac:dyDescent="0.3">
      <c r="A73" s="28">
        <v>164</v>
      </c>
      <c r="B73" s="29">
        <v>2</v>
      </c>
      <c r="C73" s="29">
        <v>1</v>
      </c>
      <c r="D73" s="30">
        <v>0</v>
      </c>
      <c r="E73" s="45">
        <f>CUESTIONARIO!I663</f>
        <v>0</v>
      </c>
    </row>
    <row r="74" spans="1:5" ht="15.75" thickBot="1" x14ac:dyDescent="0.3"/>
    <row r="75" spans="1:5" ht="15.75" thickBot="1" x14ac:dyDescent="0.3">
      <c r="A75" s="56" t="s">
        <v>8</v>
      </c>
      <c r="B75" s="57"/>
      <c r="C75" s="57"/>
      <c r="D75" s="57"/>
      <c r="E75" s="58"/>
    </row>
    <row r="76" spans="1:5" ht="15.75" thickBot="1" x14ac:dyDescent="0.3">
      <c r="A76" s="15" t="s">
        <v>15</v>
      </c>
      <c r="B76" s="16" t="s">
        <v>1</v>
      </c>
      <c r="C76" s="17" t="s">
        <v>2</v>
      </c>
      <c r="D76" s="16" t="s">
        <v>3</v>
      </c>
      <c r="E76" s="18" t="s">
        <v>20</v>
      </c>
    </row>
    <row r="77" spans="1:5" x14ac:dyDescent="0.25">
      <c r="A77" s="20">
        <v>16</v>
      </c>
      <c r="B77" s="21">
        <v>0</v>
      </c>
      <c r="C77" s="21">
        <v>1</v>
      </c>
      <c r="D77" s="22">
        <v>2</v>
      </c>
      <c r="E77" s="40">
        <f>CUESTIONARIO!I71</f>
        <v>0</v>
      </c>
    </row>
    <row r="78" spans="1:5" x14ac:dyDescent="0.25">
      <c r="A78" s="24">
        <v>17</v>
      </c>
      <c r="B78" s="25">
        <v>2</v>
      </c>
      <c r="C78" s="25">
        <v>1</v>
      </c>
      <c r="D78" s="26">
        <v>0</v>
      </c>
      <c r="E78" s="44">
        <f>CUESTIONARIO!I75</f>
        <v>0</v>
      </c>
    </row>
    <row r="79" spans="1:5" x14ac:dyDescent="0.25">
      <c r="A79" s="24">
        <v>41</v>
      </c>
      <c r="B79" s="25">
        <v>0</v>
      </c>
      <c r="C79" s="25">
        <v>1</v>
      </c>
      <c r="D79" s="26">
        <v>2</v>
      </c>
      <c r="E79" s="44">
        <f>CUESTIONARIO!I171</f>
        <v>0</v>
      </c>
    </row>
    <row r="80" spans="1:5" x14ac:dyDescent="0.25">
      <c r="A80" s="24">
        <v>42</v>
      </c>
      <c r="B80" s="25">
        <v>2</v>
      </c>
      <c r="C80" s="25">
        <v>1</v>
      </c>
      <c r="D80" s="26">
        <v>0</v>
      </c>
      <c r="E80" s="44">
        <f>CUESTIONARIO!I175</f>
        <v>0</v>
      </c>
    </row>
    <row r="81" spans="1:5" x14ac:dyDescent="0.25">
      <c r="A81" s="24">
        <v>66</v>
      </c>
      <c r="B81" s="25">
        <v>0</v>
      </c>
      <c r="C81" s="25">
        <v>1</v>
      </c>
      <c r="D81" s="26">
        <v>2</v>
      </c>
      <c r="E81" s="44">
        <f>CUESTIONARIO!I271</f>
        <v>0</v>
      </c>
    </row>
    <row r="82" spans="1:5" x14ac:dyDescent="0.25">
      <c r="A82" s="24">
        <v>67</v>
      </c>
      <c r="B82" s="25">
        <v>0</v>
      </c>
      <c r="C82" s="25">
        <v>1</v>
      </c>
      <c r="D82" s="26">
        <v>2</v>
      </c>
      <c r="E82" s="44">
        <f>CUESTIONARIO!I275</f>
        <v>0</v>
      </c>
    </row>
    <row r="83" spans="1:5" x14ac:dyDescent="0.25">
      <c r="A83" s="24">
        <v>92</v>
      </c>
      <c r="B83" s="25">
        <v>0</v>
      </c>
      <c r="C83" s="25">
        <v>1</v>
      </c>
      <c r="D83" s="26">
        <v>2</v>
      </c>
      <c r="E83" s="44">
        <f>CUESTIONARIO!I375</f>
        <v>0</v>
      </c>
    </row>
    <row r="84" spans="1:5" x14ac:dyDescent="0.25">
      <c r="A84" s="24">
        <v>117</v>
      </c>
      <c r="B84" s="25">
        <v>2</v>
      </c>
      <c r="C84" s="25">
        <v>1</v>
      </c>
      <c r="D84" s="26">
        <v>0</v>
      </c>
      <c r="E84" s="44">
        <f>CUESTIONARIO!I475</f>
        <v>0</v>
      </c>
    </row>
    <row r="85" spans="1:5" x14ac:dyDescent="0.25">
      <c r="A85" s="24">
        <v>142</v>
      </c>
      <c r="B85" s="25">
        <v>2</v>
      </c>
      <c r="C85" s="25">
        <v>1</v>
      </c>
      <c r="D85" s="26">
        <v>0</v>
      </c>
      <c r="E85" s="44">
        <f>CUESTIONARIO!I575</f>
        <v>0</v>
      </c>
    </row>
    <row r="86" spans="1:5" ht="15.75" thickBot="1" x14ac:dyDescent="0.3">
      <c r="A86" s="28">
        <v>167</v>
      </c>
      <c r="B86" s="29">
        <v>2</v>
      </c>
      <c r="C86" s="29">
        <v>1</v>
      </c>
      <c r="D86" s="30">
        <v>0</v>
      </c>
      <c r="E86" s="45">
        <f>CUESTIONARIO!I675</f>
        <v>0</v>
      </c>
    </row>
    <row r="87" spans="1:5" ht="15.75" thickBot="1" x14ac:dyDescent="0.3"/>
    <row r="88" spans="1:5" ht="15.75" thickBot="1" x14ac:dyDescent="0.3">
      <c r="A88" s="56" t="s">
        <v>9</v>
      </c>
      <c r="B88" s="57"/>
      <c r="C88" s="57"/>
      <c r="D88" s="57"/>
      <c r="E88" s="58"/>
    </row>
    <row r="89" spans="1:5" ht="15.75" thickBot="1" x14ac:dyDescent="0.3">
      <c r="A89" s="34" t="s">
        <v>15</v>
      </c>
      <c r="B89" s="35" t="s">
        <v>1</v>
      </c>
      <c r="C89" s="36" t="s">
        <v>2</v>
      </c>
      <c r="D89" s="35" t="s">
        <v>3</v>
      </c>
      <c r="E89" s="18" t="s">
        <v>20</v>
      </c>
    </row>
    <row r="90" spans="1:5" x14ac:dyDescent="0.25">
      <c r="A90" s="20">
        <v>20</v>
      </c>
      <c r="B90" s="21">
        <v>2</v>
      </c>
      <c r="C90" s="21">
        <v>1</v>
      </c>
      <c r="D90" s="22">
        <v>0</v>
      </c>
      <c r="E90" s="40">
        <f>CUESTIONARIO!I87</f>
        <v>0</v>
      </c>
    </row>
    <row r="91" spans="1:5" x14ac:dyDescent="0.25">
      <c r="A91" s="24">
        <v>21</v>
      </c>
      <c r="B91" s="25">
        <v>0</v>
      </c>
      <c r="C91" s="25">
        <v>1</v>
      </c>
      <c r="D91" s="26">
        <v>2</v>
      </c>
      <c r="E91" s="44">
        <f>CUESTIONARIO!I91</f>
        <v>0</v>
      </c>
    </row>
    <row r="92" spans="1:5" x14ac:dyDescent="0.25">
      <c r="A92" s="24">
        <v>45</v>
      </c>
      <c r="B92" s="25">
        <v>0</v>
      </c>
      <c r="C92" s="25">
        <v>1</v>
      </c>
      <c r="D92" s="26">
        <v>2</v>
      </c>
      <c r="E92" s="44">
        <f>CUESTIONARIO!I187</f>
        <v>0</v>
      </c>
    </row>
    <row r="93" spans="1:5" x14ac:dyDescent="0.25">
      <c r="A93" s="24">
        <v>46</v>
      </c>
      <c r="B93" s="25">
        <v>2</v>
      </c>
      <c r="C93" s="25">
        <v>1</v>
      </c>
      <c r="D93" s="26">
        <v>0</v>
      </c>
      <c r="E93" s="44">
        <f>CUESTIONARIO!I191</f>
        <v>0</v>
      </c>
    </row>
    <row r="94" spans="1:5" x14ac:dyDescent="0.25">
      <c r="A94" s="24">
        <v>70</v>
      </c>
      <c r="B94" s="25">
        <v>2</v>
      </c>
      <c r="C94" s="25">
        <v>1</v>
      </c>
      <c r="D94" s="26">
        <v>0</v>
      </c>
      <c r="E94" s="44">
        <f>CUESTIONARIO!I287</f>
        <v>0</v>
      </c>
    </row>
    <row r="95" spans="1:5" x14ac:dyDescent="0.25">
      <c r="A95" s="24">
        <v>95</v>
      </c>
      <c r="B95" s="25">
        <v>0</v>
      </c>
      <c r="C95" s="25">
        <v>1</v>
      </c>
      <c r="D95" s="26">
        <v>2</v>
      </c>
      <c r="E95" s="44">
        <f>CUESTIONARIO!I387</f>
        <v>0</v>
      </c>
    </row>
    <row r="96" spans="1:5" x14ac:dyDescent="0.25">
      <c r="A96" s="24">
        <v>120</v>
      </c>
      <c r="B96" s="25">
        <v>0</v>
      </c>
      <c r="C96" s="25">
        <v>1</v>
      </c>
      <c r="D96" s="26">
        <v>2</v>
      </c>
      <c r="E96" s="44">
        <f>CUESTIONARIO!I487</f>
        <v>0</v>
      </c>
    </row>
    <row r="97" spans="1:5" x14ac:dyDescent="0.25">
      <c r="A97" s="24">
        <v>145</v>
      </c>
      <c r="B97" s="25">
        <v>2</v>
      </c>
      <c r="C97" s="25">
        <v>1</v>
      </c>
      <c r="D97" s="26">
        <v>0</v>
      </c>
      <c r="E97" s="44">
        <f>CUESTIONARIO!I587</f>
        <v>0</v>
      </c>
    </row>
    <row r="98" spans="1:5" x14ac:dyDescent="0.25">
      <c r="A98" s="24">
        <v>169</v>
      </c>
      <c r="B98" s="25">
        <v>2</v>
      </c>
      <c r="C98" s="25">
        <v>1</v>
      </c>
      <c r="D98" s="26">
        <v>0</v>
      </c>
      <c r="E98" s="44">
        <f>CUESTIONARIO!I683</f>
        <v>0</v>
      </c>
    </row>
    <row r="99" spans="1:5" ht="15.75" thickBot="1" x14ac:dyDescent="0.3">
      <c r="A99" s="28">
        <v>170</v>
      </c>
      <c r="B99" s="29">
        <v>0</v>
      </c>
      <c r="C99" s="29">
        <v>1</v>
      </c>
      <c r="D99" s="30">
        <v>2</v>
      </c>
      <c r="E99" s="45">
        <f>CUESTIONARIO!I687</f>
        <v>0</v>
      </c>
    </row>
    <row r="100" spans="1:5" ht="15.75" thickBot="1" x14ac:dyDescent="0.3"/>
    <row r="101" spans="1:5" ht="15.75" thickBot="1" x14ac:dyDescent="0.3">
      <c r="A101" s="56" t="s">
        <v>10</v>
      </c>
      <c r="B101" s="57"/>
      <c r="C101" s="57"/>
      <c r="D101" s="57"/>
      <c r="E101" s="58"/>
    </row>
    <row r="102" spans="1:5" ht="15.75" thickBot="1" x14ac:dyDescent="0.3">
      <c r="A102" s="34" t="s">
        <v>15</v>
      </c>
      <c r="B102" s="35" t="s">
        <v>1</v>
      </c>
      <c r="C102" s="36" t="s">
        <v>2</v>
      </c>
      <c r="D102" s="35" t="s">
        <v>3</v>
      </c>
      <c r="E102" s="18" t="s">
        <v>20</v>
      </c>
    </row>
    <row r="103" spans="1:5" x14ac:dyDescent="0.25">
      <c r="A103" s="20">
        <v>23</v>
      </c>
      <c r="B103" s="21">
        <v>0</v>
      </c>
      <c r="C103" s="21">
        <v>1</v>
      </c>
      <c r="D103" s="22">
        <v>2</v>
      </c>
      <c r="E103" s="40">
        <f>CUESTIONARIO!I99</f>
        <v>0</v>
      </c>
    </row>
    <row r="104" spans="1:5" x14ac:dyDescent="0.25">
      <c r="A104" s="24">
        <v>24</v>
      </c>
      <c r="B104" s="25">
        <v>0</v>
      </c>
      <c r="C104" s="25">
        <v>1</v>
      </c>
      <c r="D104" s="26">
        <v>2</v>
      </c>
      <c r="E104" s="44">
        <f>CUESTIONARIO!I103</f>
        <v>0</v>
      </c>
    </row>
    <row r="105" spans="1:5" x14ac:dyDescent="0.25">
      <c r="A105" s="24">
        <v>48</v>
      </c>
      <c r="B105" s="25">
        <v>2</v>
      </c>
      <c r="C105" s="25">
        <v>1</v>
      </c>
      <c r="D105" s="26">
        <v>0</v>
      </c>
      <c r="E105" s="44">
        <f>CUESTIONARIO!I199</f>
        <v>0</v>
      </c>
    </row>
    <row r="106" spans="1:5" x14ac:dyDescent="0.25">
      <c r="A106" s="24">
        <v>73</v>
      </c>
      <c r="B106" s="25">
        <v>2</v>
      </c>
      <c r="C106" s="25">
        <v>1</v>
      </c>
      <c r="D106" s="26">
        <v>0</v>
      </c>
      <c r="E106" s="44">
        <f>CUESTIONARIO!I299</f>
        <v>0</v>
      </c>
    </row>
    <row r="107" spans="1:5" x14ac:dyDescent="0.25">
      <c r="A107" s="24">
        <v>98</v>
      </c>
      <c r="B107" s="25">
        <v>2</v>
      </c>
      <c r="C107" s="25">
        <v>1</v>
      </c>
      <c r="D107" s="26">
        <v>0</v>
      </c>
      <c r="E107" s="44">
        <f>CUESTIONARIO!I399</f>
        <v>0</v>
      </c>
    </row>
    <row r="108" spans="1:5" x14ac:dyDescent="0.25">
      <c r="A108" s="24">
        <v>123</v>
      </c>
      <c r="B108" s="25">
        <v>0</v>
      </c>
      <c r="C108" s="25">
        <v>1</v>
      </c>
      <c r="D108" s="26">
        <v>2</v>
      </c>
      <c r="E108" s="44">
        <f>CUESTIONARIO!I499</f>
        <v>0</v>
      </c>
    </row>
    <row r="109" spans="1:5" x14ac:dyDescent="0.25">
      <c r="A109" s="24">
        <v>147</v>
      </c>
      <c r="B109" s="25">
        <v>0</v>
      </c>
      <c r="C109" s="25">
        <v>1</v>
      </c>
      <c r="D109" s="26">
        <v>2</v>
      </c>
      <c r="E109" s="44">
        <f>CUESTIONARIO!I595</f>
        <v>0</v>
      </c>
    </row>
    <row r="110" spans="1:5" x14ac:dyDescent="0.25">
      <c r="A110" s="24">
        <v>148</v>
      </c>
      <c r="B110" s="25">
        <v>2</v>
      </c>
      <c r="C110" s="25">
        <v>1</v>
      </c>
      <c r="D110" s="26">
        <v>0</v>
      </c>
      <c r="E110" s="44">
        <f>CUESTIONARIO!I599</f>
        <v>0</v>
      </c>
    </row>
    <row r="111" spans="1:5" x14ac:dyDescent="0.25">
      <c r="A111" s="24">
        <v>172</v>
      </c>
      <c r="B111" s="25">
        <v>0</v>
      </c>
      <c r="C111" s="25">
        <v>1</v>
      </c>
      <c r="D111" s="26">
        <v>2</v>
      </c>
      <c r="E111" s="44">
        <f>CUESTIONARIO!I695</f>
        <v>0</v>
      </c>
    </row>
    <row r="112" spans="1:5" ht="15.75" thickBot="1" x14ac:dyDescent="0.3">
      <c r="A112" s="28">
        <v>173</v>
      </c>
      <c r="B112" s="29">
        <v>2</v>
      </c>
      <c r="C112" s="29">
        <v>1</v>
      </c>
      <c r="D112" s="30">
        <v>0</v>
      </c>
      <c r="E112" s="45">
        <f>CUESTIONARIO!I699</f>
        <v>0</v>
      </c>
    </row>
    <row r="113" spans="1:5" ht="15.75" thickBot="1" x14ac:dyDescent="0.3"/>
    <row r="114" spans="1:5" ht="15.75" thickBot="1" x14ac:dyDescent="0.3">
      <c r="A114" s="56" t="s">
        <v>11</v>
      </c>
      <c r="B114" s="57"/>
      <c r="C114" s="57"/>
      <c r="D114" s="57"/>
      <c r="E114" s="58"/>
    </row>
    <row r="115" spans="1:5" ht="15.75" thickBot="1" x14ac:dyDescent="0.3">
      <c r="A115" s="34" t="s">
        <v>15</v>
      </c>
      <c r="B115" s="35" t="s">
        <v>1</v>
      </c>
      <c r="C115" s="36" t="s">
        <v>2</v>
      </c>
      <c r="D115" s="35" t="s">
        <v>3</v>
      </c>
      <c r="E115" s="18" t="s">
        <v>20</v>
      </c>
    </row>
    <row r="116" spans="1:5" x14ac:dyDescent="0.25">
      <c r="A116" s="20">
        <v>28</v>
      </c>
      <c r="B116" s="21">
        <v>0</v>
      </c>
      <c r="C116" s="21">
        <v>1</v>
      </c>
      <c r="D116" s="22">
        <v>0</v>
      </c>
      <c r="E116" s="40">
        <f>CUESTIONARIO!I119</f>
        <v>0</v>
      </c>
    </row>
    <row r="117" spans="1:5" x14ac:dyDescent="0.25">
      <c r="A117" s="24">
        <v>53</v>
      </c>
      <c r="B117" s="25">
        <v>0</v>
      </c>
      <c r="C117" s="25">
        <v>1</v>
      </c>
      <c r="D117" s="26">
        <v>0</v>
      </c>
      <c r="E117" s="44">
        <f>CUESTIONARIO!I219</f>
        <v>0</v>
      </c>
    </row>
    <row r="118" spans="1:5" x14ac:dyDescent="0.25">
      <c r="A118" s="24">
        <v>54</v>
      </c>
      <c r="B118" s="25">
        <v>0</v>
      </c>
      <c r="C118" s="25">
        <v>1</v>
      </c>
      <c r="D118" s="26">
        <v>0</v>
      </c>
      <c r="E118" s="44">
        <f>CUESTIONARIO!I223</f>
        <v>0</v>
      </c>
    </row>
    <row r="119" spans="1:5" x14ac:dyDescent="0.25">
      <c r="A119" s="24">
        <v>103</v>
      </c>
      <c r="B119" s="25">
        <v>0</v>
      </c>
      <c r="C119" s="25">
        <v>1</v>
      </c>
      <c r="D119" s="26">
        <v>0</v>
      </c>
      <c r="E119" s="44">
        <f>CUESTIONARIO!I419</f>
        <v>0</v>
      </c>
    </row>
    <row r="120" spans="1:5" x14ac:dyDescent="0.25">
      <c r="A120" s="24">
        <v>127</v>
      </c>
      <c r="B120" s="25">
        <v>0</v>
      </c>
      <c r="C120" s="25">
        <v>0</v>
      </c>
      <c r="D120" s="26">
        <v>1</v>
      </c>
      <c r="E120" s="44">
        <f>CUESTIONARIO!I515</f>
        <v>0</v>
      </c>
    </row>
    <row r="121" spans="1:5" x14ac:dyDescent="0.25">
      <c r="A121" s="24">
        <v>77</v>
      </c>
      <c r="B121" s="25">
        <v>0</v>
      </c>
      <c r="C121" s="25">
        <v>0</v>
      </c>
      <c r="D121" s="26">
        <v>1</v>
      </c>
      <c r="E121" s="44">
        <f>CUESTIONARIO!I315</f>
        <v>0</v>
      </c>
    </row>
    <row r="122" spans="1:5" x14ac:dyDescent="0.25">
      <c r="A122" s="24">
        <v>78</v>
      </c>
      <c r="B122" s="25">
        <v>0</v>
      </c>
      <c r="C122" s="25">
        <v>1</v>
      </c>
      <c r="D122" s="26">
        <v>0</v>
      </c>
      <c r="E122" s="44">
        <f>CUESTIONARIO!I319</f>
        <v>0</v>
      </c>
    </row>
    <row r="123" spans="1:5" x14ac:dyDescent="0.25">
      <c r="A123" s="24">
        <v>102</v>
      </c>
      <c r="B123" s="25">
        <v>0</v>
      </c>
      <c r="C123" s="25">
        <v>0</v>
      </c>
      <c r="D123" s="26">
        <v>1</v>
      </c>
      <c r="E123" s="44">
        <f>CUESTIONARIO!I415</f>
        <v>0</v>
      </c>
    </row>
    <row r="124" spans="1:5" x14ac:dyDescent="0.25">
      <c r="A124" s="24">
        <v>153</v>
      </c>
      <c r="B124" s="25">
        <v>0</v>
      </c>
      <c r="C124" s="25">
        <v>0</v>
      </c>
      <c r="D124" s="26">
        <v>1</v>
      </c>
      <c r="E124" s="44">
        <f>CUESTIONARIO!I619</f>
        <v>0</v>
      </c>
    </row>
    <row r="125" spans="1:5" x14ac:dyDescent="0.25">
      <c r="A125" s="24">
        <v>152</v>
      </c>
      <c r="B125" s="25">
        <v>1</v>
      </c>
      <c r="C125" s="25">
        <v>0</v>
      </c>
      <c r="D125" s="26">
        <v>0</v>
      </c>
      <c r="E125" s="44">
        <f>CUESTIONARIO!I615</f>
        <v>0</v>
      </c>
    </row>
    <row r="126" spans="1:5" x14ac:dyDescent="0.25">
      <c r="A126" s="24">
        <v>178</v>
      </c>
      <c r="B126" s="25">
        <v>1</v>
      </c>
      <c r="C126" s="25">
        <v>0</v>
      </c>
      <c r="D126" s="26">
        <v>0</v>
      </c>
      <c r="E126" s="44">
        <f>CUESTIONARIO!I719</f>
        <v>0</v>
      </c>
    </row>
    <row r="127" spans="1:5" x14ac:dyDescent="0.25">
      <c r="A127" s="24">
        <v>177</v>
      </c>
      <c r="B127" s="25">
        <v>1</v>
      </c>
      <c r="C127" s="25">
        <v>0</v>
      </c>
      <c r="D127" s="26">
        <v>0</v>
      </c>
      <c r="E127" s="44">
        <f>CUESTIONARIO!I715</f>
        <v>0</v>
      </c>
    </row>
    <row r="128" spans="1:5" ht="15.75" thickBot="1" x14ac:dyDescent="0.3">
      <c r="A128" s="28">
        <v>128</v>
      </c>
      <c r="B128" s="29">
        <v>0</v>
      </c>
      <c r="C128" s="29">
        <v>1</v>
      </c>
      <c r="D128" s="30">
        <v>0</v>
      </c>
      <c r="E128" s="45">
        <f>CUESTIONARIO!I519</f>
        <v>0</v>
      </c>
    </row>
    <row r="129" spans="1:5" ht="15.75" thickBot="1" x14ac:dyDescent="0.3"/>
    <row r="130" spans="1:5" ht="15.75" thickBot="1" x14ac:dyDescent="0.3">
      <c r="A130" s="56" t="s">
        <v>16</v>
      </c>
      <c r="B130" s="57"/>
      <c r="C130" s="57"/>
      <c r="D130" s="57"/>
      <c r="E130" s="58"/>
    </row>
    <row r="131" spans="1:5" ht="15.75" thickBot="1" x14ac:dyDescent="0.3">
      <c r="A131" s="34" t="s">
        <v>15</v>
      </c>
      <c r="B131" s="35" t="s">
        <v>1</v>
      </c>
      <c r="C131" s="36" t="s">
        <v>2</v>
      </c>
      <c r="D131" s="35" t="s">
        <v>3</v>
      </c>
      <c r="E131" s="18" t="s">
        <v>20</v>
      </c>
    </row>
    <row r="132" spans="1:5" x14ac:dyDescent="0.25">
      <c r="A132" s="20">
        <v>6</v>
      </c>
      <c r="B132" s="21">
        <v>0</v>
      </c>
      <c r="C132" s="21">
        <v>1</v>
      </c>
      <c r="D132" s="22">
        <v>2</v>
      </c>
      <c r="E132" s="40">
        <f>CUESTIONARIO!I31</f>
        <v>0</v>
      </c>
    </row>
    <row r="133" spans="1:5" x14ac:dyDescent="0.25">
      <c r="A133" s="24">
        <v>7</v>
      </c>
      <c r="B133" s="25">
        <v>2</v>
      </c>
      <c r="C133" s="25">
        <v>1</v>
      </c>
      <c r="D133" s="26">
        <v>0</v>
      </c>
      <c r="E133" s="44">
        <f>CUESTIONARIO!I35</f>
        <v>0</v>
      </c>
    </row>
    <row r="134" spans="1:5" x14ac:dyDescent="0.25">
      <c r="A134" s="24">
        <v>31</v>
      </c>
      <c r="B134" s="25">
        <v>0</v>
      </c>
      <c r="C134" s="25">
        <v>1</v>
      </c>
      <c r="D134" s="26">
        <v>2</v>
      </c>
      <c r="E134" s="44">
        <f>CUESTIONARIO!I131</f>
        <v>0</v>
      </c>
    </row>
    <row r="135" spans="1:5" x14ac:dyDescent="0.25">
      <c r="A135" s="24">
        <v>32</v>
      </c>
      <c r="B135" s="25">
        <v>0</v>
      </c>
      <c r="C135" s="25">
        <v>1</v>
      </c>
      <c r="D135" s="26">
        <v>2</v>
      </c>
      <c r="E135" s="44">
        <f>CUESTIONARIO!I135</f>
        <v>0</v>
      </c>
    </row>
    <row r="136" spans="1:5" x14ac:dyDescent="0.25">
      <c r="A136" s="24">
        <v>56</v>
      </c>
      <c r="B136" s="25">
        <v>2</v>
      </c>
      <c r="C136" s="25">
        <v>1</v>
      </c>
      <c r="D136" s="26">
        <v>0</v>
      </c>
      <c r="E136" s="44">
        <f>CUESTIONARIO!I231</f>
        <v>0</v>
      </c>
    </row>
    <row r="137" spans="1:5" x14ac:dyDescent="0.25">
      <c r="A137" s="24">
        <v>57</v>
      </c>
      <c r="B137" s="25">
        <v>0</v>
      </c>
      <c r="C137" s="25">
        <v>1</v>
      </c>
      <c r="D137" s="26">
        <v>2</v>
      </c>
      <c r="E137" s="44">
        <f>CUESTIONARIO!I235</f>
        <v>0</v>
      </c>
    </row>
    <row r="138" spans="1:5" x14ac:dyDescent="0.25">
      <c r="A138" s="24">
        <v>81</v>
      </c>
      <c r="B138" s="25">
        <v>0</v>
      </c>
      <c r="C138" s="25">
        <v>1</v>
      </c>
      <c r="D138" s="26">
        <v>2</v>
      </c>
      <c r="E138" s="44">
        <f>CUESTIONARIO!I331</f>
        <v>0</v>
      </c>
    </row>
    <row r="139" spans="1:5" x14ac:dyDescent="0.25">
      <c r="A139" s="24">
        <v>106</v>
      </c>
      <c r="B139" s="25">
        <v>0</v>
      </c>
      <c r="C139" s="25">
        <v>1</v>
      </c>
      <c r="D139" s="26">
        <v>2</v>
      </c>
      <c r="E139" s="44">
        <f>CUESTIONARIO!I431</f>
        <v>0</v>
      </c>
    </row>
    <row r="140" spans="1:5" x14ac:dyDescent="0.25">
      <c r="A140" s="24">
        <v>131</v>
      </c>
      <c r="B140" s="25">
        <v>2</v>
      </c>
      <c r="C140" s="25">
        <v>1</v>
      </c>
      <c r="D140" s="26">
        <v>0</v>
      </c>
      <c r="E140" s="44">
        <f>CUESTIONARIO!I531</f>
        <v>0</v>
      </c>
    </row>
    <row r="141" spans="1:5" x14ac:dyDescent="0.25">
      <c r="A141" s="24">
        <v>155</v>
      </c>
      <c r="B141" s="25">
        <v>2</v>
      </c>
      <c r="C141" s="25">
        <v>1</v>
      </c>
      <c r="D141" s="26">
        <v>0</v>
      </c>
      <c r="E141" s="44">
        <f>CUESTIONARIO!I627</f>
        <v>0</v>
      </c>
    </row>
    <row r="142" spans="1:5" x14ac:dyDescent="0.25">
      <c r="A142" s="24">
        <v>180</v>
      </c>
      <c r="B142" s="25">
        <v>2</v>
      </c>
      <c r="C142" s="25">
        <v>1</v>
      </c>
      <c r="D142" s="26">
        <v>0</v>
      </c>
      <c r="E142" s="44">
        <f>CUESTIONARIO!I727</f>
        <v>0</v>
      </c>
    </row>
    <row r="143" spans="1:5" x14ac:dyDescent="0.25">
      <c r="A143" s="24">
        <v>156</v>
      </c>
      <c r="B143" s="25">
        <v>2</v>
      </c>
      <c r="C143" s="25">
        <v>1</v>
      </c>
      <c r="D143" s="26">
        <v>0</v>
      </c>
      <c r="E143" s="44">
        <f>CUESTIONARIO!I631</f>
        <v>0</v>
      </c>
    </row>
    <row r="144" spans="1:5" ht="15.75" thickBot="1" x14ac:dyDescent="0.3">
      <c r="A144" s="28">
        <v>181</v>
      </c>
      <c r="B144" s="29">
        <v>2</v>
      </c>
      <c r="C144" s="29">
        <v>1</v>
      </c>
      <c r="D144" s="30">
        <v>0</v>
      </c>
      <c r="E144" s="45">
        <f>CUESTIONARIO!I731</f>
        <v>0</v>
      </c>
    </row>
    <row r="145" spans="1:5" ht="15.75" thickBot="1" x14ac:dyDescent="0.3"/>
    <row r="146" spans="1:5" ht="15.75" thickBot="1" x14ac:dyDescent="0.3">
      <c r="A146" s="59" t="s">
        <v>17</v>
      </c>
      <c r="B146" s="60"/>
      <c r="C146" s="60"/>
      <c r="D146" s="60"/>
      <c r="E146" s="61"/>
    </row>
    <row r="147" spans="1:5" ht="15.75" thickBot="1" x14ac:dyDescent="0.3">
      <c r="A147" s="34" t="s">
        <v>15</v>
      </c>
      <c r="B147" s="35" t="s">
        <v>1</v>
      </c>
      <c r="C147" s="36" t="s">
        <v>2</v>
      </c>
      <c r="D147" s="35" t="s">
        <v>3</v>
      </c>
      <c r="E147" s="18" t="s">
        <v>20</v>
      </c>
    </row>
    <row r="148" spans="1:5" x14ac:dyDescent="0.25">
      <c r="A148" s="20">
        <v>9</v>
      </c>
      <c r="B148" s="21">
        <v>0</v>
      </c>
      <c r="C148" s="21">
        <v>1</v>
      </c>
      <c r="D148" s="22">
        <v>2</v>
      </c>
      <c r="E148" s="40">
        <f>CUESTIONARIO!I43</f>
        <v>0</v>
      </c>
    </row>
    <row r="149" spans="1:5" x14ac:dyDescent="0.25">
      <c r="A149" s="24">
        <v>34</v>
      </c>
      <c r="B149" s="25">
        <v>0</v>
      </c>
      <c r="C149" s="25">
        <v>1</v>
      </c>
      <c r="D149" s="26">
        <v>2</v>
      </c>
      <c r="E149" s="44">
        <f>CUESTIONARIO!I143</f>
        <v>0</v>
      </c>
    </row>
    <row r="150" spans="1:5" x14ac:dyDescent="0.25">
      <c r="A150" s="24">
        <v>59</v>
      </c>
      <c r="B150" s="25">
        <v>0</v>
      </c>
      <c r="C150" s="25">
        <v>1</v>
      </c>
      <c r="D150" s="26">
        <v>2</v>
      </c>
      <c r="E150" s="44">
        <f>CUESTIONARIO!I243</f>
        <v>0</v>
      </c>
    </row>
    <row r="151" spans="1:5" x14ac:dyDescent="0.25">
      <c r="A151" s="24">
        <v>84</v>
      </c>
      <c r="B151" s="25">
        <v>0</v>
      </c>
      <c r="C151" s="25">
        <v>1</v>
      </c>
      <c r="D151" s="26">
        <v>2</v>
      </c>
      <c r="E151" s="44">
        <f>CUESTIONARIO!I343</f>
        <v>0</v>
      </c>
    </row>
    <row r="152" spans="1:5" x14ac:dyDescent="0.25">
      <c r="A152" s="24">
        <v>109</v>
      </c>
      <c r="B152" s="25">
        <v>2</v>
      </c>
      <c r="C152" s="25">
        <v>1</v>
      </c>
      <c r="D152" s="26">
        <v>0</v>
      </c>
      <c r="E152" s="44">
        <f>CUESTIONARIO!I443</f>
        <v>0</v>
      </c>
    </row>
    <row r="153" spans="1:5" x14ac:dyDescent="0.25">
      <c r="A153" s="24">
        <v>134</v>
      </c>
      <c r="B153" s="25">
        <v>2</v>
      </c>
      <c r="C153" s="25">
        <v>1</v>
      </c>
      <c r="D153" s="26">
        <v>0</v>
      </c>
      <c r="E153" s="44">
        <f>CUESTIONARIO!I543</f>
        <v>0</v>
      </c>
    </row>
    <row r="154" spans="1:5" x14ac:dyDescent="0.25">
      <c r="A154" s="24">
        <v>159</v>
      </c>
      <c r="B154" s="25">
        <v>0</v>
      </c>
      <c r="C154" s="25">
        <v>1</v>
      </c>
      <c r="D154" s="26">
        <v>2</v>
      </c>
      <c r="E154" s="44">
        <f>CUESTIONARIO!I643</f>
        <v>0</v>
      </c>
    </row>
    <row r="155" spans="1:5" x14ac:dyDescent="0.25">
      <c r="A155" s="24">
        <v>160</v>
      </c>
      <c r="B155" s="25">
        <v>2</v>
      </c>
      <c r="C155" s="25">
        <v>1</v>
      </c>
      <c r="D155" s="26">
        <v>0</v>
      </c>
      <c r="E155" s="44">
        <f>CUESTIONARIO!I647</f>
        <v>0</v>
      </c>
    </row>
    <row r="156" spans="1:5" x14ac:dyDescent="0.25">
      <c r="A156" s="24">
        <v>184</v>
      </c>
      <c r="B156" s="25">
        <v>2</v>
      </c>
      <c r="C156" s="25">
        <v>1</v>
      </c>
      <c r="D156" s="26">
        <v>0</v>
      </c>
      <c r="E156" s="44">
        <f>CUESTIONARIO!I743</f>
        <v>0</v>
      </c>
    </row>
    <row r="157" spans="1:5" ht="15.75" thickBot="1" x14ac:dyDescent="0.3">
      <c r="A157" s="28">
        <v>185</v>
      </c>
      <c r="B157" s="29">
        <v>2</v>
      </c>
      <c r="C157" s="29">
        <v>1</v>
      </c>
      <c r="D157" s="30">
        <v>0</v>
      </c>
      <c r="E157" s="45">
        <f>CUESTIONARIO!I747</f>
        <v>0</v>
      </c>
    </row>
    <row r="158" spans="1:5" ht="15.75" thickBot="1" x14ac:dyDescent="0.3"/>
    <row r="159" spans="1:5" ht="15.75" thickBot="1" x14ac:dyDescent="0.3">
      <c r="A159" s="56" t="s">
        <v>18</v>
      </c>
      <c r="B159" s="57"/>
      <c r="C159" s="57"/>
      <c r="D159" s="57"/>
      <c r="E159" s="58"/>
    </row>
    <row r="160" spans="1:5" ht="15.75" thickBot="1" x14ac:dyDescent="0.3">
      <c r="A160" s="34" t="s">
        <v>15</v>
      </c>
      <c r="B160" s="35" t="s">
        <v>1</v>
      </c>
      <c r="C160" s="36" t="s">
        <v>2</v>
      </c>
      <c r="D160" s="35" t="s">
        <v>3</v>
      </c>
      <c r="E160" s="18" t="s">
        <v>20</v>
      </c>
    </row>
    <row r="161" spans="1:5" x14ac:dyDescent="0.25">
      <c r="A161" s="20">
        <v>11</v>
      </c>
      <c r="B161" s="21">
        <v>0</v>
      </c>
      <c r="C161" s="21">
        <v>1</v>
      </c>
      <c r="D161" s="22">
        <v>2</v>
      </c>
      <c r="E161" s="40">
        <f>CUESTIONARIO!I51</f>
        <v>0</v>
      </c>
    </row>
    <row r="162" spans="1:5" x14ac:dyDescent="0.25">
      <c r="A162" s="24">
        <v>37</v>
      </c>
      <c r="B162" s="25">
        <v>2</v>
      </c>
      <c r="C162" s="25">
        <v>1</v>
      </c>
      <c r="D162" s="26">
        <v>0</v>
      </c>
      <c r="E162" s="44">
        <f>CUESTIONARIO!I155</f>
        <v>0</v>
      </c>
    </row>
    <row r="163" spans="1:5" x14ac:dyDescent="0.25">
      <c r="A163" s="24">
        <v>62</v>
      </c>
      <c r="B163" s="25">
        <v>0</v>
      </c>
      <c r="C163" s="25">
        <v>1</v>
      </c>
      <c r="D163" s="26">
        <v>2</v>
      </c>
      <c r="E163" s="44">
        <f>CUESTIONARIO!I255</f>
        <v>0</v>
      </c>
    </row>
    <row r="164" spans="1:5" x14ac:dyDescent="0.25">
      <c r="A164" s="24">
        <v>87</v>
      </c>
      <c r="B164" s="25">
        <v>0</v>
      </c>
      <c r="C164" s="25">
        <v>1</v>
      </c>
      <c r="D164" s="26">
        <v>2</v>
      </c>
      <c r="E164" s="44">
        <f>CUESTIONARIO!I355</f>
        <v>0</v>
      </c>
    </row>
    <row r="165" spans="1:5" x14ac:dyDescent="0.25">
      <c r="A165" s="24">
        <v>112</v>
      </c>
      <c r="B165" s="25">
        <v>2</v>
      </c>
      <c r="C165" s="25">
        <v>1</v>
      </c>
      <c r="D165" s="26">
        <v>0</v>
      </c>
      <c r="E165" s="44">
        <f>CUESTIONARIO!I455</f>
        <v>0</v>
      </c>
    </row>
    <row r="166" spans="1:5" x14ac:dyDescent="0.25">
      <c r="A166" s="24">
        <v>137</v>
      </c>
      <c r="B166" s="25">
        <v>0</v>
      </c>
      <c r="C166" s="25">
        <v>1</v>
      </c>
      <c r="D166" s="26">
        <v>2</v>
      </c>
      <c r="E166" s="44">
        <f>CUESTIONARIO!I555</f>
        <v>0</v>
      </c>
    </row>
    <row r="167" spans="1:5" x14ac:dyDescent="0.25">
      <c r="A167" s="24">
        <v>138</v>
      </c>
      <c r="B167" s="25">
        <v>2</v>
      </c>
      <c r="C167" s="25">
        <v>1</v>
      </c>
      <c r="D167" s="26">
        <v>0</v>
      </c>
      <c r="E167" s="44">
        <f>CUESTIONARIO!I559</f>
        <v>0</v>
      </c>
    </row>
    <row r="168" spans="1:5" x14ac:dyDescent="0.25">
      <c r="A168" s="24">
        <v>162</v>
      </c>
      <c r="B168" s="25">
        <v>0</v>
      </c>
      <c r="C168" s="25">
        <v>1</v>
      </c>
      <c r="D168" s="26">
        <v>2</v>
      </c>
      <c r="E168" s="44">
        <f>CUESTIONARIO!I655</f>
        <v>0</v>
      </c>
    </row>
    <row r="169" spans="1:5" x14ac:dyDescent="0.25">
      <c r="A169" s="24">
        <v>12</v>
      </c>
      <c r="B169" s="25">
        <v>2</v>
      </c>
      <c r="C169" s="25">
        <v>1</v>
      </c>
      <c r="D169" s="26">
        <v>0</v>
      </c>
      <c r="E169" s="44">
        <f>CUESTIONARIO!I55</f>
        <v>0</v>
      </c>
    </row>
    <row r="170" spans="1:5" ht="15.75" thickBot="1" x14ac:dyDescent="0.3">
      <c r="A170" s="28">
        <v>163</v>
      </c>
      <c r="B170" s="29">
        <v>2</v>
      </c>
      <c r="C170" s="29">
        <v>1</v>
      </c>
      <c r="D170" s="30">
        <v>0</v>
      </c>
      <c r="E170" s="45">
        <f>CUESTIONARIO!I659</f>
        <v>0</v>
      </c>
    </row>
    <row r="171" spans="1:5" ht="15.75" thickBot="1" x14ac:dyDescent="0.3"/>
    <row r="172" spans="1:5" ht="15.75" thickBot="1" x14ac:dyDescent="0.3">
      <c r="A172" s="56" t="s">
        <v>19</v>
      </c>
      <c r="B172" s="57"/>
      <c r="C172" s="57"/>
      <c r="D172" s="57"/>
      <c r="E172" s="58"/>
    </row>
    <row r="173" spans="1:5" ht="15.75" thickBot="1" x14ac:dyDescent="0.3">
      <c r="A173" s="34" t="s">
        <v>15</v>
      </c>
      <c r="B173" s="35" t="s">
        <v>1</v>
      </c>
      <c r="C173" s="36" t="s">
        <v>2</v>
      </c>
      <c r="D173" s="35" t="s">
        <v>3</v>
      </c>
      <c r="E173" s="18" t="s">
        <v>20</v>
      </c>
    </row>
    <row r="174" spans="1:5" x14ac:dyDescent="0.25">
      <c r="A174" s="20">
        <v>14</v>
      </c>
      <c r="B174" s="21">
        <v>0</v>
      </c>
      <c r="C174" s="21">
        <v>1</v>
      </c>
      <c r="D174" s="22">
        <v>2</v>
      </c>
      <c r="E174" s="40">
        <f>CUESTIONARIO!I63</f>
        <v>0</v>
      </c>
    </row>
    <row r="175" spans="1:5" x14ac:dyDescent="0.25">
      <c r="A175" s="24">
        <v>15</v>
      </c>
      <c r="B175" s="25">
        <v>0</v>
      </c>
      <c r="C175" s="25">
        <v>1</v>
      </c>
      <c r="D175" s="26">
        <v>2</v>
      </c>
      <c r="E175" s="44">
        <f>CUESTIONARIO!I67</f>
        <v>0</v>
      </c>
    </row>
    <row r="176" spans="1:5" x14ac:dyDescent="0.25">
      <c r="A176" s="24">
        <v>39</v>
      </c>
      <c r="B176" s="25">
        <v>2</v>
      </c>
      <c r="C176" s="25">
        <v>1</v>
      </c>
      <c r="D176" s="26">
        <v>0</v>
      </c>
      <c r="E176" s="44">
        <f>CUESTIONARIO!I163</f>
        <v>0</v>
      </c>
    </row>
    <row r="177" spans="1:5" x14ac:dyDescent="0.25">
      <c r="A177" s="24">
        <v>40</v>
      </c>
      <c r="B177" s="25">
        <v>2</v>
      </c>
      <c r="C177" s="25">
        <v>1</v>
      </c>
      <c r="D177" s="26">
        <v>0</v>
      </c>
      <c r="E177" s="44">
        <f>CUESTIONARIO!I167</f>
        <v>0</v>
      </c>
    </row>
    <row r="178" spans="1:5" x14ac:dyDescent="0.25">
      <c r="A178" s="24">
        <v>65</v>
      </c>
      <c r="B178" s="25">
        <v>2</v>
      </c>
      <c r="C178" s="25">
        <v>1</v>
      </c>
      <c r="D178" s="26">
        <v>0</v>
      </c>
      <c r="E178" s="44">
        <f>CUESTIONARIO!I267</f>
        <v>0</v>
      </c>
    </row>
    <row r="179" spans="1:5" x14ac:dyDescent="0.25">
      <c r="A179" s="24">
        <v>90</v>
      </c>
      <c r="B179" s="25">
        <v>0</v>
      </c>
      <c r="C179" s="25">
        <v>1</v>
      </c>
      <c r="D179" s="26">
        <v>2</v>
      </c>
      <c r="E179" s="44">
        <f>CUESTIONARIO!I367</f>
        <v>0</v>
      </c>
    </row>
    <row r="180" spans="1:5" x14ac:dyDescent="0.25">
      <c r="A180" s="24">
        <v>115</v>
      </c>
      <c r="B180" s="25">
        <v>2</v>
      </c>
      <c r="C180" s="25">
        <v>1</v>
      </c>
      <c r="D180" s="26">
        <v>0</v>
      </c>
      <c r="E180" s="44">
        <f>CUESTIONARIO!I467</f>
        <v>0</v>
      </c>
    </row>
    <row r="181" spans="1:5" x14ac:dyDescent="0.25">
      <c r="A181" s="24">
        <v>140</v>
      </c>
      <c r="B181" s="25">
        <v>2</v>
      </c>
      <c r="C181" s="25">
        <v>1</v>
      </c>
      <c r="D181" s="26">
        <v>0</v>
      </c>
      <c r="E181" s="44">
        <f>CUESTIONARIO!I567</f>
        <v>0</v>
      </c>
    </row>
    <row r="182" spans="1:5" x14ac:dyDescent="0.25">
      <c r="A182" s="24">
        <v>91</v>
      </c>
      <c r="B182" s="25">
        <v>2</v>
      </c>
      <c r="C182" s="25">
        <v>1</v>
      </c>
      <c r="D182" s="26">
        <v>0</v>
      </c>
      <c r="E182" s="44">
        <f>CUESTIONARIO!I371</f>
        <v>0</v>
      </c>
    </row>
    <row r="183" spans="1:5" x14ac:dyDescent="0.25">
      <c r="A183" s="24">
        <v>116</v>
      </c>
      <c r="B183" s="25">
        <v>2</v>
      </c>
      <c r="C183" s="25">
        <v>1</v>
      </c>
      <c r="D183" s="26">
        <v>0</v>
      </c>
      <c r="E183" s="44">
        <f>CUESTIONARIO!I471</f>
        <v>0</v>
      </c>
    </row>
    <row r="184" spans="1:5" x14ac:dyDescent="0.25">
      <c r="A184" s="24">
        <v>166</v>
      </c>
      <c r="B184" s="25">
        <v>0</v>
      </c>
      <c r="C184" s="25">
        <v>1</v>
      </c>
      <c r="D184" s="26">
        <v>2</v>
      </c>
      <c r="E184" s="44">
        <f>CUESTIONARIO!I671</f>
        <v>0</v>
      </c>
    </row>
    <row r="185" spans="1:5" ht="15.75" thickBot="1" x14ac:dyDescent="0.3">
      <c r="A185" s="28">
        <v>165</v>
      </c>
      <c r="B185" s="29">
        <v>0</v>
      </c>
      <c r="C185" s="29">
        <v>1</v>
      </c>
      <c r="D185" s="30">
        <v>2</v>
      </c>
      <c r="E185" s="45">
        <f>CUESTIONARIO!I667</f>
        <v>0</v>
      </c>
    </row>
    <row r="186" spans="1:5" ht="15.75" thickBot="1" x14ac:dyDescent="0.3"/>
    <row r="187" spans="1:5" ht="15.75" thickBot="1" x14ac:dyDescent="0.3">
      <c r="A187" s="56" t="s">
        <v>12</v>
      </c>
      <c r="B187" s="57"/>
      <c r="C187" s="57"/>
      <c r="D187" s="57"/>
      <c r="E187" s="58"/>
    </row>
    <row r="188" spans="1:5" ht="15.75" thickBot="1" x14ac:dyDescent="0.3">
      <c r="A188" s="34" t="s">
        <v>15</v>
      </c>
      <c r="B188" s="35" t="s">
        <v>1</v>
      </c>
      <c r="C188" s="36" t="s">
        <v>2</v>
      </c>
      <c r="D188" s="35" t="s">
        <v>3</v>
      </c>
      <c r="E188" s="18" t="s">
        <v>20</v>
      </c>
    </row>
    <row r="189" spans="1:5" x14ac:dyDescent="0.25">
      <c r="A189" s="20">
        <v>18</v>
      </c>
      <c r="B189" s="21">
        <v>2</v>
      </c>
      <c r="C189" s="21">
        <v>1</v>
      </c>
      <c r="D189" s="22">
        <v>0</v>
      </c>
      <c r="E189" s="40">
        <f>CUESTIONARIO!I79</f>
        <v>0</v>
      </c>
    </row>
    <row r="190" spans="1:5" x14ac:dyDescent="0.25">
      <c r="A190" s="24">
        <v>19</v>
      </c>
      <c r="B190" s="25">
        <v>0</v>
      </c>
      <c r="C190" s="25">
        <v>1</v>
      </c>
      <c r="D190" s="26">
        <v>2</v>
      </c>
      <c r="E190" s="44">
        <f>CUESTIONARIO!I83</f>
        <v>0</v>
      </c>
    </row>
    <row r="191" spans="1:5" x14ac:dyDescent="0.25">
      <c r="A191" s="24">
        <v>43</v>
      </c>
      <c r="B191" s="25">
        <v>2</v>
      </c>
      <c r="C191" s="25">
        <v>1</v>
      </c>
      <c r="D191" s="26">
        <v>0</v>
      </c>
      <c r="E191" s="44">
        <f>CUESTIONARIO!I179</f>
        <v>0</v>
      </c>
    </row>
    <row r="192" spans="1:5" x14ac:dyDescent="0.25">
      <c r="A192" s="24">
        <v>44</v>
      </c>
      <c r="B192" s="25">
        <v>0</v>
      </c>
      <c r="C192" s="25">
        <v>1</v>
      </c>
      <c r="D192" s="26">
        <v>2</v>
      </c>
      <c r="E192" s="44">
        <f>CUESTIONARIO!I183</f>
        <v>0</v>
      </c>
    </row>
    <row r="193" spans="1:5" x14ac:dyDescent="0.25">
      <c r="A193" s="24">
        <v>68</v>
      </c>
      <c r="B193" s="25">
        <v>0</v>
      </c>
      <c r="C193" s="25">
        <v>1</v>
      </c>
      <c r="D193" s="26">
        <v>2</v>
      </c>
      <c r="E193" s="44">
        <f>CUESTIONARIO!I279</f>
        <v>0</v>
      </c>
    </row>
    <row r="194" spans="1:5" x14ac:dyDescent="0.25">
      <c r="A194" s="24">
        <v>69</v>
      </c>
      <c r="B194" s="25">
        <v>2</v>
      </c>
      <c r="C194" s="25">
        <v>1</v>
      </c>
      <c r="D194" s="26">
        <v>0</v>
      </c>
      <c r="E194" s="44">
        <f>CUESTIONARIO!I283</f>
        <v>0</v>
      </c>
    </row>
    <row r="195" spans="1:5" x14ac:dyDescent="0.25">
      <c r="A195" s="24">
        <v>93</v>
      </c>
      <c r="B195" s="25">
        <v>0</v>
      </c>
      <c r="C195" s="25">
        <v>1</v>
      </c>
      <c r="D195" s="26">
        <v>2</v>
      </c>
      <c r="E195" s="44">
        <f>CUESTIONARIO!I379</f>
        <v>0</v>
      </c>
    </row>
    <row r="196" spans="1:5" x14ac:dyDescent="0.25">
      <c r="A196" s="24">
        <v>94</v>
      </c>
      <c r="B196" s="25">
        <v>2</v>
      </c>
      <c r="C196" s="25">
        <v>1</v>
      </c>
      <c r="D196" s="26">
        <v>0</v>
      </c>
      <c r="E196" s="44">
        <f>CUESTIONARIO!I383</f>
        <v>0</v>
      </c>
    </row>
    <row r="197" spans="1:5" x14ac:dyDescent="0.25">
      <c r="A197" s="24">
        <v>118</v>
      </c>
      <c r="B197" s="25">
        <v>2</v>
      </c>
      <c r="C197" s="25">
        <v>1</v>
      </c>
      <c r="D197" s="26">
        <v>0</v>
      </c>
      <c r="E197" s="44">
        <f>CUESTIONARIO!I479</f>
        <v>0</v>
      </c>
    </row>
    <row r="198" spans="1:5" x14ac:dyDescent="0.25">
      <c r="A198" s="24">
        <v>119</v>
      </c>
      <c r="B198" s="25">
        <v>2</v>
      </c>
      <c r="C198" s="25">
        <v>1</v>
      </c>
      <c r="D198" s="26">
        <v>0</v>
      </c>
      <c r="E198" s="44">
        <f>CUESTIONARIO!I483</f>
        <v>0</v>
      </c>
    </row>
    <row r="199" spans="1:5" x14ac:dyDescent="0.25">
      <c r="A199" s="24">
        <v>143</v>
      </c>
      <c r="B199" s="25">
        <v>2</v>
      </c>
      <c r="C199" s="25">
        <v>1</v>
      </c>
      <c r="D199" s="26">
        <v>0</v>
      </c>
      <c r="E199" s="44">
        <f>CUESTIONARIO!I579</f>
        <v>0</v>
      </c>
    </row>
    <row r="200" spans="1:5" x14ac:dyDescent="0.25">
      <c r="A200" s="24">
        <v>144</v>
      </c>
      <c r="B200" s="25">
        <v>0</v>
      </c>
      <c r="C200" s="25">
        <v>1</v>
      </c>
      <c r="D200" s="26">
        <v>2</v>
      </c>
      <c r="E200" s="44">
        <f>CUESTIONARIO!I583</f>
        <v>0</v>
      </c>
    </row>
    <row r="201" spans="1:5" ht="15.75" thickBot="1" x14ac:dyDescent="0.3">
      <c r="A201" s="28">
        <v>168</v>
      </c>
      <c r="B201" s="29">
        <v>0</v>
      </c>
      <c r="C201" s="29">
        <v>1</v>
      </c>
      <c r="D201" s="30">
        <v>2</v>
      </c>
      <c r="E201" s="45">
        <f>CUESTIONARIO!I679</f>
        <v>0</v>
      </c>
    </row>
    <row r="202" spans="1:5" ht="15.75" thickBot="1" x14ac:dyDescent="0.3"/>
    <row r="203" spans="1:5" ht="15.75" thickBot="1" x14ac:dyDescent="0.3">
      <c r="A203" s="56" t="s">
        <v>13</v>
      </c>
      <c r="B203" s="57"/>
      <c r="C203" s="57"/>
      <c r="D203" s="57"/>
      <c r="E203" s="58"/>
    </row>
    <row r="204" spans="1:5" ht="15.75" thickBot="1" x14ac:dyDescent="0.3">
      <c r="A204" s="34" t="s">
        <v>15</v>
      </c>
      <c r="B204" s="35" t="s">
        <v>1</v>
      </c>
      <c r="C204" s="36" t="s">
        <v>2</v>
      </c>
      <c r="D204" s="35" t="s">
        <v>3</v>
      </c>
      <c r="E204" s="18" t="s">
        <v>20</v>
      </c>
    </row>
    <row r="205" spans="1:5" x14ac:dyDescent="0.25">
      <c r="A205" s="20">
        <v>2</v>
      </c>
      <c r="B205" s="21">
        <v>0</v>
      </c>
      <c r="C205" s="21">
        <v>1</v>
      </c>
      <c r="D205" s="22">
        <v>2</v>
      </c>
      <c r="E205" s="40">
        <f>CUESTIONARIO!I15</f>
        <v>0</v>
      </c>
    </row>
    <row r="206" spans="1:5" x14ac:dyDescent="0.25">
      <c r="A206" s="24">
        <v>47</v>
      </c>
      <c r="B206" s="25">
        <v>2</v>
      </c>
      <c r="C206" s="25">
        <v>1</v>
      </c>
      <c r="D206" s="26">
        <v>0</v>
      </c>
      <c r="E206" s="44">
        <f>CUESTIONARIO!I195</f>
        <v>0</v>
      </c>
    </row>
    <row r="207" spans="1:5" x14ac:dyDescent="0.25">
      <c r="A207" s="24">
        <v>71</v>
      </c>
      <c r="B207" s="25">
        <v>2</v>
      </c>
      <c r="C207" s="25">
        <v>1</v>
      </c>
      <c r="D207" s="26">
        <v>0</v>
      </c>
      <c r="E207" s="44">
        <f>CUESTIONARIO!I291</f>
        <v>0</v>
      </c>
    </row>
    <row r="208" spans="1:5" x14ac:dyDescent="0.25">
      <c r="A208" s="24">
        <v>72</v>
      </c>
      <c r="B208" s="25">
        <v>2</v>
      </c>
      <c r="C208" s="25">
        <v>1</v>
      </c>
      <c r="D208" s="26">
        <v>0</v>
      </c>
      <c r="E208" s="44">
        <f>CUESTIONARIO!I295</f>
        <v>0</v>
      </c>
    </row>
    <row r="209" spans="1:5" x14ac:dyDescent="0.25">
      <c r="A209" s="24">
        <v>96</v>
      </c>
      <c r="B209" s="25">
        <v>0</v>
      </c>
      <c r="C209" s="25">
        <v>1</v>
      </c>
      <c r="D209" s="26">
        <v>2</v>
      </c>
      <c r="E209" s="44">
        <f>CUESTIONARIO!I391</f>
        <v>0</v>
      </c>
    </row>
    <row r="210" spans="1:5" x14ac:dyDescent="0.25">
      <c r="A210" s="24">
        <v>97</v>
      </c>
      <c r="B210" s="25">
        <v>0</v>
      </c>
      <c r="C210" s="25">
        <v>1</v>
      </c>
      <c r="D210" s="26">
        <v>2</v>
      </c>
      <c r="E210" s="44">
        <f>CUESTIONARIO!I395</f>
        <v>0</v>
      </c>
    </row>
    <row r="211" spans="1:5" x14ac:dyDescent="0.25">
      <c r="A211" s="24">
        <v>121</v>
      </c>
      <c r="B211" s="25">
        <v>0</v>
      </c>
      <c r="C211" s="25">
        <v>1</v>
      </c>
      <c r="D211" s="26">
        <v>2</v>
      </c>
      <c r="E211" s="44">
        <f>CUESTIONARIO!I491</f>
        <v>0</v>
      </c>
    </row>
    <row r="212" spans="1:5" x14ac:dyDescent="0.25">
      <c r="A212" s="24">
        <v>122</v>
      </c>
      <c r="B212" s="25">
        <v>0</v>
      </c>
      <c r="C212" s="25">
        <v>1</v>
      </c>
      <c r="D212" s="26">
        <v>2</v>
      </c>
      <c r="E212" s="44">
        <f>CUESTIONARIO!I495</f>
        <v>0</v>
      </c>
    </row>
    <row r="213" spans="1:5" x14ac:dyDescent="0.25">
      <c r="A213" s="24">
        <v>146</v>
      </c>
      <c r="B213" s="25">
        <v>2</v>
      </c>
      <c r="C213" s="25">
        <v>1</v>
      </c>
      <c r="D213" s="26">
        <v>0</v>
      </c>
      <c r="E213" s="44">
        <f>CUESTIONARIO!I591</f>
        <v>0</v>
      </c>
    </row>
    <row r="214" spans="1:5" x14ac:dyDescent="0.25">
      <c r="A214" s="24">
        <v>22</v>
      </c>
      <c r="B214" s="25">
        <v>0</v>
      </c>
      <c r="C214" s="25">
        <v>1</v>
      </c>
      <c r="D214" s="26">
        <v>2</v>
      </c>
      <c r="E214" s="44">
        <f>CUESTIONARIO!I95</f>
        <v>0</v>
      </c>
    </row>
    <row r="215" spans="1:5" ht="15.75" thickBot="1" x14ac:dyDescent="0.3">
      <c r="A215" s="28">
        <v>171</v>
      </c>
      <c r="B215" s="29">
        <v>2</v>
      </c>
      <c r="C215" s="29">
        <v>1</v>
      </c>
      <c r="D215" s="30">
        <v>0</v>
      </c>
      <c r="E215" s="45">
        <f>CUESTIONARIO!I691</f>
        <v>0</v>
      </c>
    </row>
    <row r="216" spans="1:5" ht="15.75" thickBot="1" x14ac:dyDescent="0.3"/>
    <row r="217" spans="1:5" ht="15.75" thickBot="1" x14ac:dyDescent="0.3">
      <c r="A217" s="56" t="s">
        <v>14</v>
      </c>
      <c r="B217" s="57"/>
      <c r="C217" s="57"/>
      <c r="D217" s="57"/>
      <c r="E217" s="58"/>
    </row>
    <row r="218" spans="1:5" ht="15.75" thickBot="1" x14ac:dyDescent="0.3">
      <c r="A218" s="15" t="s">
        <v>15</v>
      </c>
      <c r="B218" s="16" t="s">
        <v>1</v>
      </c>
      <c r="C218" s="17" t="s">
        <v>2</v>
      </c>
      <c r="D218" s="16" t="s">
        <v>3</v>
      </c>
      <c r="E218" s="18" t="s">
        <v>20</v>
      </c>
    </row>
    <row r="219" spans="1:5" x14ac:dyDescent="0.25">
      <c r="A219" s="20">
        <v>5</v>
      </c>
      <c r="B219" s="25">
        <v>0</v>
      </c>
      <c r="C219" s="25">
        <v>1</v>
      </c>
      <c r="D219" s="26">
        <v>2</v>
      </c>
      <c r="E219" s="40">
        <f>CUESTIONARIO!I27</f>
        <v>0</v>
      </c>
    </row>
    <row r="220" spans="1:5" x14ac:dyDescent="0.25">
      <c r="A220" s="24">
        <v>49</v>
      </c>
      <c r="B220" s="25">
        <v>2</v>
      </c>
      <c r="C220" s="25">
        <v>1</v>
      </c>
      <c r="D220" s="26">
        <v>0</v>
      </c>
      <c r="E220" s="44">
        <f>CUESTIONARIO!I203</f>
        <v>0</v>
      </c>
    </row>
    <row r="221" spans="1:5" x14ac:dyDescent="0.25">
      <c r="A221" s="24">
        <v>50</v>
      </c>
      <c r="B221" s="25">
        <v>2</v>
      </c>
      <c r="C221" s="25">
        <v>1</v>
      </c>
      <c r="D221" s="26">
        <v>0</v>
      </c>
      <c r="E221" s="44">
        <f>CUESTIONARIO!I207</f>
        <v>0</v>
      </c>
    </row>
    <row r="222" spans="1:5" x14ac:dyDescent="0.25">
      <c r="A222" s="24">
        <v>74</v>
      </c>
      <c r="B222" s="25">
        <v>2</v>
      </c>
      <c r="C222" s="25">
        <v>1</v>
      </c>
      <c r="D222" s="26">
        <v>0</v>
      </c>
      <c r="E222" s="44">
        <f>CUESTIONARIO!I303</f>
        <v>0</v>
      </c>
    </row>
    <row r="223" spans="1:5" x14ac:dyDescent="0.25">
      <c r="A223" s="24">
        <v>75</v>
      </c>
      <c r="B223" s="25">
        <v>0</v>
      </c>
      <c r="C223" s="25">
        <v>1</v>
      </c>
      <c r="D223" s="26">
        <v>2</v>
      </c>
      <c r="E223" s="44">
        <f>CUESTIONARIO!I307</f>
        <v>0</v>
      </c>
    </row>
    <row r="224" spans="1:5" x14ac:dyDescent="0.25">
      <c r="A224" s="24">
        <v>99</v>
      </c>
      <c r="B224" s="25">
        <v>2</v>
      </c>
      <c r="C224" s="25">
        <v>1</v>
      </c>
      <c r="D224" s="26">
        <v>0</v>
      </c>
      <c r="E224" s="44">
        <f>CUESTIONARIO!I403</f>
        <v>0</v>
      </c>
    </row>
    <row r="225" spans="1:5" x14ac:dyDescent="0.25">
      <c r="A225" s="24">
        <v>100</v>
      </c>
      <c r="B225" s="25">
        <v>0</v>
      </c>
      <c r="C225" s="25">
        <v>1</v>
      </c>
      <c r="D225" s="26">
        <v>2</v>
      </c>
      <c r="E225" s="44">
        <f>CUESTIONARIO!I407</f>
        <v>0</v>
      </c>
    </row>
    <row r="226" spans="1:5" x14ac:dyDescent="0.25">
      <c r="A226" s="24">
        <v>124</v>
      </c>
      <c r="B226" s="25">
        <v>2</v>
      </c>
      <c r="C226" s="25">
        <v>1</v>
      </c>
      <c r="D226" s="26">
        <v>0</v>
      </c>
      <c r="E226" s="44">
        <f>CUESTIONARIO!I503</f>
        <v>0</v>
      </c>
    </row>
    <row r="227" spans="1:5" x14ac:dyDescent="0.25">
      <c r="A227" s="24">
        <v>125</v>
      </c>
      <c r="B227" s="25">
        <v>0</v>
      </c>
      <c r="C227" s="25">
        <v>1</v>
      </c>
      <c r="D227" s="26">
        <v>2</v>
      </c>
      <c r="E227" s="44">
        <f>CUESTIONARIO!I507</f>
        <v>0</v>
      </c>
    </row>
    <row r="228" spans="1:5" x14ac:dyDescent="0.25">
      <c r="A228" s="24">
        <v>149</v>
      </c>
      <c r="B228" s="25">
        <v>2</v>
      </c>
      <c r="C228" s="25">
        <v>1</v>
      </c>
      <c r="D228" s="26">
        <v>0</v>
      </c>
      <c r="E228" s="44">
        <f>CUESTIONARIO!I603</f>
        <v>0</v>
      </c>
    </row>
    <row r="229" spans="1:5" x14ac:dyDescent="0.25">
      <c r="A229" s="24">
        <v>150</v>
      </c>
      <c r="B229" s="25">
        <v>0</v>
      </c>
      <c r="C229" s="25">
        <v>1</v>
      </c>
      <c r="D229" s="26">
        <v>2</v>
      </c>
      <c r="E229" s="44">
        <f>CUESTIONARIO!I607</f>
        <v>0</v>
      </c>
    </row>
    <row r="230" spans="1:5" x14ac:dyDescent="0.25">
      <c r="A230" s="24">
        <v>174</v>
      </c>
      <c r="B230" s="25">
        <v>2</v>
      </c>
      <c r="C230" s="25">
        <v>1</v>
      </c>
      <c r="D230" s="26">
        <v>0</v>
      </c>
      <c r="E230" s="44">
        <f>CUESTIONARIO!I703</f>
        <v>0</v>
      </c>
    </row>
    <row r="231" spans="1:5" x14ac:dyDescent="0.25">
      <c r="A231" s="24">
        <v>175</v>
      </c>
      <c r="B231" s="25">
        <v>0</v>
      </c>
      <c r="C231" s="25">
        <v>1</v>
      </c>
      <c r="D231" s="26">
        <v>2</v>
      </c>
      <c r="E231" s="44">
        <f>CUESTIONARIO!I707</f>
        <v>0</v>
      </c>
    </row>
    <row r="232" spans="1:5" ht="15.75" thickBot="1" x14ac:dyDescent="0.3">
      <c r="A232" s="28">
        <v>25</v>
      </c>
      <c r="B232" s="29">
        <v>0</v>
      </c>
      <c r="C232" s="29">
        <v>1</v>
      </c>
      <c r="D232" s="30">
        <v>2</v>
      </c>
      <c r="E232" s="45">
        <f>CUESTIONARIO!I107</f>
        <v>0</v>
      </c>
    </row>
  </sheetData>
  <sheetProtection algorithmName="SHA-512" hashValue="dD6rdC/lCSJEnie8Je3D1BwSspDnEnvOMZEuoe3Tp1Vm5JbLRYfY0eFMNLyuxsdjDQniELwy4mrQN6PQvsLRMg==" saltValue="tDKe8oY1VNkLbKSgRjdTGg==" spinCount="100000" sheet="1" objects="1" scenarios="1"/>
  <mergeCells count="239">
    <mergeCell ref="A159:E159"/>
    <mergeCell ref="A172:E172"/>
    <mergeCell ref="A187:E187"/>
    <mergeCell ref="A203:E203"/>
    <mergeCell ref="A217:E217"/>
    <mergeCell ref="A75:E75"/>
    <mergeCell ref="A88:E88"/>
    <mergeCell ref="A101:E101"/>
    <mergeCell ref="A114:E114"/>
    <mergeCell ref="A130:E130"/>
    <mergeCell ref="A146:E146"/>
    <mergeCell ref="S51:S53"/>
    <mergeCell ref="T51:T53"/>
    <mergeCell ref="U51:U53"/>
    <mergeCell ref="V51:V53"/>
    <mergeCell ref="W51:W53"/>
    <mergeCell ref="A62:E62"/>
    <mergeCell ref="M51:M53"/>
    <mergeCell ref="N51:N53"/>
    <mergeCell ref="O51:O53"/>
    <mergeCell ref="P51:P53"/>
    <mergeCell ref="Q51:Q53"/>
    <mergeCell ref="R51:R53"/>
    <mergeCell ref="S48:S50"/>
    <mergeCell ref="T48:T50"/>
    <mergeCell ref="U48:U50"/>
    <mergeCell ref="V48:V50"/>
    <mergeCell ref="W48:W50"/>
    <mergeCell ref="X48:Y50"/>
    <mergeCell ref="W45:W47"/>
    <mergeCell ref="X45:Y47"/>
    <mergeCell ref="A46:E46"/>
    <mergeCell ref="K48:L50"/>
    <mergeCell ref="M48:M50"/>
    <mergeCell ref="N48:N50"/>
    <mergeCell ref="O48:O50"/>
    <mergeCell ref="P48:P50"/>
    <mergeCell ref="Q48:Q50"/>
    <mergeCell ref="R48:R50"/>
    <mergeCell ref="Q45:Q47"/>
    <mergeCell ref="R45:R47"/>
    <mergeCell ref="S45:S47"/>
    <mergeCell ref="T45:T47"/>
    <mergeCell ref="U45:U47"/>
    <mergeCell ref="V45:V47"/>
    <mergeCell ref="T42:T44"/>
    <mergeCell ref="U42:U44"/>
    <mergeCell ref="V42:V44"/>
    <mergeCell ref="W42:W44"/>
    <mergeCell ref="X42:Y44"/>
    <mergeCell ref="K45:L47"/>
    <mergeCell ref="M45:M47"/>
    <mergeCell ref="N45:N47"/>
    <mergeCell ref="O45:O47"/>
    <mergeCell ref="P45:P47"/>
    <mergeCell ref="K42:L44"/>
    <mergeCell ref="M42:M44"/>
    <mergeCell ref="N42:N44"/>
    <mergeCell ref="O42:O44"/>
    <mergeCell ref="P42:P44"/>
    <mergeCell ref="Q42:Q44"/>
    <mergeCell ref="R42:R44"/>
    <mergeCell ref="S42:S44"/>
    <mergeCell ref="Q39:Q41"/>
    <mergeCell ref="R39:R41"/>
    <mergeCell ref="S39:S41"/>
    <mergeCell ref="T36:T38"/>
    <mergeCell ref="U36:U38"/>
    <mergeCell ref="V36:V38"/>
    <mergeCell ref="W36:W38"/>
    <mergeCell ref="X36:Y38"/>
    <mergeCell ref="K39:L41"/>
    <mergeCell ref="M39:M41"/>
    <mergeCell ref="N39:N41"/>
    <mergeCell ref="O39:O41"/>
    <mergeCell ref="P39:P41"/>
    <mergeCell ref="W39:W41"/>
    <mergeCell ref="X39:Y41"/>
    <mergeCell ref="T39:T41"/>
    <mergeCell ref="U39:U41"/>
    <mergeCell ref="V39:V41"/>
    <mergeCell ref="K36:L38"/>
    <mergeCell ref="M36:M38"/>
    <mergeCell ref="N36:N38"/>
    <mergeCell ref="O36:O38"/>
    <mergeCell ref="P36:P38"/>
    <mergeCell ref="Q36:Q38"/>
    <mergeCell ref="R36:R38"/>
    <mergeCell ref="S36:S38"/>
    <mergeCell ref="Q33:Q35"/>
    <mergeCell ref="R33:R35"/>
    <mergeCell ref="S33:S35"/>
    <mergeCell ref="T30:T32"/>
    <mergeCell ref="U30:U32"/>
    <mergeCell ref="V30:V32"/>
    <mergeCell ref="W30:W32"/>
    <mergeCell ref="S30:S32"/>
    <mergeCell ref="X30:Y32"/>
    <mergeCell ref="K33:L35"/>
    <mergeCell ref="M33:M35"/>
    <mergeCell ref="N33:N35"/>
    <mergeCell ref="O33:O35"/>
    <mergeCell ref="P33:P35"/>
    <mergeCell ref="W33:W35"/>
    <mergeCell ref="X33:Y35"/>
    <mergeCell ref="T33:T35"/>
    <mergeCell ref="U33:U35"/>
    <mergeCell ref="V33:V35"/>
    <mergeCell ref="O24:O26"/>
    <mergeCell ref="P24:P26"/>
    <mergeCell ref="Q24:Q26"/>
    <mergeCell ref="R24:R26"/>
    <mergeCell ref="A30:E30"/>
    <mergeCell ref="K30:L32"/>
    <mergeCell ref="M30:M32"/>
    <mergeCell ref="N30:N32"/>
    <mergeCell ref="O30:O32"/>
    <mergeCell ref="P30:P32"/>
    <mergeCell ref="Q30:Q32"/>
    <mergeCell ref="R30:R32"/>
    <mergeCell ref="K27:L29"/>
    <mergeCell ref="M27:M29"/>
    <mergeCell ref="N27:N29"/>
    <mergeCell ref="O27:O29"/>
    <mergeCell ref="P27:P29"/>
    <mergeCell ref="Q27:Q29"/>
    <mergeCell ref="K24:L26"/>
    <mergeCell ref="M24:M26"/>
    <mergeCell ref="N24:N26"/>
    <mergeCell ref="X27:Y29"/>
    <mergeCell ref="R27:R29"/>
    <mergeCell ref="S27:S29"/>
    <mergeCell ref="T27:T29"/>
    <mergeCell ref="U27:U29"/>
    <mergeCell ref="V27:V29"/>
    <mergeCell ref="W27:W29"/>
    <mergeCell ref="S24:S26"/>
    <mergeCell ref="T24:T26"/>
    <mergeCell ref="U24:U26"/>
    <mergeCell ref="V24:V26"/>
    <mergeCell ref="W24:W26"/>
    <mergeCell ref="X24:Y26"/>
    <mergeCell ref="W18:W20"/>
    <mergeCell ref="X18:Y20"/>
    <mergeCell ref="K21:L23"/>
    <mergeCell ref="M21:M23"/>
    <mergeCell ref="N21:N23"/>
    <mergeCell ref="O21:O23"/>
    <mergeCell ref="P21:P23"/>
    <mergeCell ref="Q21:Q23"/>
    <mergeCell ref="X21:Y23"/>
    <mergeCell ref="R21:R23"/>
    <mergeCell ref="S21:S23"/>
    <mergeCell ref="T21:T23"/>
    <mergeCell ref="U21:U23"/>
    <mergeCell ref="V21:V23"/>
    <mergeCell ref="W21:W23"/>
    <mergeCell ref="X15:Y17"/>
    <mergeCell ref="K18:L20"/>
    <mergeCell ref="M18:M20"/>
    <mergeCell ref="N18:N20"/>
    <mergeCell ref="O18:O20"/>
    <mergeCell ref="P18:P20"/>
    <mergeCell ref="Q18:Q20"/>
    <mergeCell ref="R18:R20"/>
    <mergeCell ref="S18:S20"/>
    <mergeCell ref="T18:T20"/>
    <mergeCell ref="R15:R17"/>
    <mergeCell ref="S15:S17"/>
    <mergeCell ref="T15:T17"/>
    <mergeCell ref="U15:U17"/>
    <mergeCell ref="V15:V17"/>
    <mergeCell ref="W15:W17"/>
    <mergeCell ref="K15:L17"/>
    <mergeCell ref="M15:M17"/>
    <mergeCell ref="N15:N17"/>
    <mergeCell ref="O15:O17"/>
    <mergeCell ref="P15:P17"/>
    <mergeCell ref="Q15:Q17"/>
    <mergeCell ref="U18:U20"/>
    <mergeCell ref="V18:V20"/>
    <mergeCell ref="T12:T14"/>
    <mergeCell ref="U12:U14"/>
    <mergeCell ref="V12:V14"/>
    <mergeCell ref="W12:W14"/>
    <mergeCell ref="X12:Y14"/>
    <mergeCell ref="A14:E14"/>
    <mergeCell ref="W9:W11"/>
    <mergeCell ref="X9:Y11"/>
    <mergeCell ref="K12:L14"/>
    <mergeCell ref="M12:M14"/>
    <mergeCell ref="N12:N14"/>
    <mergeCell ref="O12:O14"/>
    <mergeCell ref="P12:P14"/>
    <mergeCell ref="Q12:Q14"/>
    <mergeCell ref="R12:R14"/>
    <mergeCell ref="S12:S14"/>
    <mergeCell ref="Q9:Q11"/>
    <mergeCell ref="R9:R11"/>
    <mergeCell ref="S9:S11"/>
    <mergeCell ref="T9:T11"/>
    <mergeCell ref="U9:U11"/>
    <mergeCell ref="V9:V11"/>
    <mergeCell ref="T6:T8"/>
    <mergeCell ref="U6:U8"/>
    <mergeCell ref="V6:V8"/>
    <mergeCell ref="W6:W8"/>
    <mergeCell ref="X6:Y8"/>
    <mergeCell ref="K9:L11"/>
    <mergeCell ref="M9:M11"/>
    <mergeCell ref="N9:N11"/>
    <mergeCell ref="O9:O11"/>
    <mergeCell ref="P9:P11"/>
    <mergeCell ref="K6:L8"/>
    <mergeCell ref="M6:M8"/>
    <mergeCell ref="N6:N8"/>
    <mergeCell ref="O6:O8"/>
    <mergeCell ref="P6:P8"/>
    <mergeCell ref="Q6:Q8"/>
    <mergeCell ref="R6:R8"/>
    <mergeCell ref="S6:S8"/>
    <mergeCell ref="Q3:Q5"/>
    <mergeCell ref="R3:R5"/>
    <mergeCell ref="S3:S5"/>
    <mergeCell ref="A1:E1"/>
    <mergeCell ref="G1:I1"/>
    <mergeCell ref="K1:L2"/>
    <mergeCell ref="M1:W2"/>
    <mergeCell ref="X1:Y2"/>
    <mergeCell ref="K3:L5"/>
    <mergeCell ref="M3:M5"/>
    <mergeCell ref="N3:N5"/>
    <mergeCell ref="O3:O5"/>
    <mergeCell ref="P3:P5"/>
    <mergeCell ref="W3:W5"/>
    <mergeCell ref="X3:Y5"/>
    <mergeCell ref="T3:T5"/>
    <mergeCell ref="U3:U5"/>
    <mergeCell ref="V3:V5"/>
  </mergeCells>
  <conditionalFormatting sqref="M3:Q50">
    <cfRule type="containsText" dxfId="1" priority="2" operator="containsText" text="X">
      <formula>NOT(ISERROR(SEARCH("X",M3)))</formula>
    </cfRule>
  </conditionalFormatting>
  <conditionalFormatting sqref="S3:W50">
    <cfRule type="containsText" dxfId="0" priority="1" operator="containsText" text="X">
      <formula>NOT(ISERROR(SEARCH("X",S3)))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PRINCIPAL</vt:lpstr>
      <vt:lpstr>INSTRUCCIONES</vt:lpstr>
      <vt:lpstr>CUESTIONARIO</vt:lpstr>
      <vt:lpstr>HOMBRES</vt:lpstr>
      <vt:lpstr>MUJERES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Gonzalez</dc:creator>
  <cp:lastModifiedBy>User</cp:lastModifiedBy>
  <dcterms:created xsi:type="dcterms:W3CDTF">2016-05-03T12:14:32Z</dcterms:created>
  <dcterms:modified xsi:type="dcterms:W3CDTF">2020-03-14T15:14:58Z</dcterms:modified>
</cp:coreProperties>
</file>